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Одит на цитиранията" sheetId="1" state="visible" r:id="rId1"/>
    <sheet xmlns:r="http://schemas.openxmlformats.org/officeDocument/2006/relationships" name="Метод" sheetId="2" state="visible" r:id="rId2"/>
    <sheet xmlns:r="http://schemas.openxmlformats.org/officeDocument/2006/relationships" name="Ниво 1 Източници" sheetId="3" state="visible" r:id="rId3"/>
    <sheet xmlns:r="http://schemas.openxmlformats.org/officeDocument/2006/relationships" name="Ниво 1 — всички 53" sheetId="4" state="visible" r:id="rId4"/>
    <sheet xmlns:r="http://schemas.openxmlformats.org/officeDocument/2006/relationships" name="Списък 42" sheetId="5" state="visible" r:id="rId5"/>
    <sheet xmlns:r="http://schemas.openxmlformats.org/officeDocument/2006/relationships" name="Ниво 2 Твърдения" sheetId="6" state="visible" r:id="rId6"/>
    <sheet xmlns:r="http://schemas.openxmlformats.org/officeDocument/2006/relationships" name="Ниво 3 Нецитирани" sheetId="7" state="visible" r:id="rId7"/>
    <sheet xmlns:r="http://schemas.openxmlformats.org/officeDocument/2006/relationships" name="Обобщение" sheetId="8" state="visible" r:id="rId8"/>
    <sheet xmlns:r="http://schemas.openxmlformats.org/officeDocument/2006/relationships" name="Гл.2–3 Ниво 1" sheetId="9" state="visible" r:id="rId9"/>
    <sheet xmlns:r="http://schemas.openxmlformats.org/officeDocument/2006/relationships" name="Гл.2–3 Ниво 2" sheetId="10" state="visible" r:id="rId10"/>
    <sheet xmlns:r="http://schemas.openxmlformats.org/officeDocument/2006/relationships" name="Гл.2–3 Ниво 3" sheetId="11" state="visible" r:id="rId11"/>
    <sheet xmlns:r="http://schemas.openxmlformats.org/officeDocument/2006/relationships" name="Корекции 31.08" sheetId="12" state="visible" r:id="rId12"/>
  </sheets>
  <definedNames>
    <definedName name="_xlnm._FilterDatabase" localSheetId="0" hidden="1">'Одит на цитиранията'!$A$1:$I$86</definedName>
    <definedName name="_xlnm._FilterDatabase" localSheetId="2" hidden="1">'Ниво 1 Източници'!$A$1:$N$37</definedName>
    <definedName name="_xlnm._FilterDatabase" localSheetId="3" hidden="1">'Ниво 1 — всички 53'!$A$1:$K$54</definedName>
    <definedName name="_xlnm._FilterDatabase" localSheetId="5" hidden="1">'Ниво 2 Твърдения'!$A$1:$M$65</definedName>
    <definedName name="_xlnm._FilterDatabase" localSheetId="6" hidden="1">'Ниво 3 Нецитирани'!$A$1:$J$51</definedName>
    <definedName name="_xlnm._FilterDatabase" localSheetId="9" hidden="1">'Гл.2–3 Ниво 2'!$A$1:$M$30</definedName>
    <definedName name="_xlnm._FilterDatabase" localSheetId="10" hidden="1">'Гл.2–3 Ниво 3'!$A$1:$H$60</definedName>
    <definedName name="_xlnm._FilterDatabase" localSheetId="11" hidden="1">'Корекции 31.08'!$A$1:$J$9</definedName>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sz val="10"/>
    </font>
    <font>
      <name val="Arial"/>
      <charset val="1"/>
      <family val="0"/>
      <sz val="10"/>
    </font>
    <font>
      <name val="Arial"/>
      <charset val="1"/>
      <family val="0"/>
      <b val="1"/>
      <color rgb="FFFFFFFF"/>
      <sz val="10"/>
    </font>
    <font>
      <name val="Arial"/>
      <charset val="1"/>
      <family val="0"/>
      <b val="1"/>
      <color rgb="FF9C0006"/>
      <sz val="10"/>
    </font>
    <font>
      <name val="Arial"/>
      <charset val="1"/>
      <family val="0"/>
      <b val="1"/>
      <color rgb="FF1F3864"/>
      <sz val="13"/>
    </font>
    <font>
      <name val="Arial"/>
      <charset val="1"/>
      <family val="0"/>
      <i val="1"/>
      <color rgb="FF595959"/>
      <sz val="9"/>
    </font>
    <font>
      <name val="Arial"/>
      <sz val="10"/>
    </font>
    <font>
      <name val="Arial"/>
      <b val="1"/>
      <color rgb="009C0006"/>
      <sz val="12"/>
    </font>
    <font>
      <name val="Arial"/>
      <b val="1"/>
      <color rgb="00FFFFFF"/>
      <sz val="10"/>
    </font>
    <font>
      <name val="Arial"/>
      <color rgb="000563C1"/>
      <sz val="9"/>
      <u val="single"/>
    </font>
    <font>
      <name val="Arial"/>
      <b val="1"/>
      <sz val="10"/>
    </font>
    <font>
      <b val="1"/>
    </font>
    <font>
      <color rgb="000563C1"/>
      <u val="single"/>
    </font>
  </fonts>
  <fills count="17">
    <fill>
      <patternFill/>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F8CBAD"/>
        <bgColor rgb="FFFCE4D6"/>
      </patternFill>
    </fill>
    <fill>
      <patternFill patternType="solid">
        <fgColor rgb="00F8CBAD"/>
      </patternFill>
    </fill>
    <fill>
      <patternFill patternType="solid">
        <fgColor rgb="00FCE4D6"/>
      </patternFill>
    </fill>
    <fill>
      <patternFill patternType="solid">
        <fgColor rgb="001F3864"/>
      </patternFill>
    </fill>
    <fill>
      <patternFill patternType="solid">
        <fgColor rgb="007B3F00"/>
      </patternFill>
    </fill>
    <fill>
      <patternFill patternType="solid">
        <fgColor rgb="00FFF2CC"/>
      </patternFill>
    </fill>
    <fill>
      <patternFill patternType="solid">
        <fgColor rgb="00E2EFDA"/>
      </patternFill>
    </fill>
    <fill>
      <patternFill patternType="solid">
        <fgColor rgb="00375623"/>
      </patternFill>
    </fill>
    <fill>
      <patternFill patternType="solid">
        <fgColor rgb="00DDEBF7"/>
      </patternFill>
    </fill>
    <fill>
      <patternFill patternType="solid">
        <fgColor rgb="00C6EFCE"/>
      </patternFill>
    </fill>
    <fill>
      <patternFill patternType="solid">
        <fgColor rgb="00FFEB9C"/>
      </patternFill>
    </fill>
    <fill>
      <patternFill patternType="solid">
        <fgColor rgb="00FFC7CE"/>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0" borderId="1" applyAlignment="1" pivotButton="0" quotePrefix="0" xfId="0">
      <alignment horizontal="general" vertical="top"/>
    </xf>
    <xf numFmtId="0" fontId="7" fillId="3" borderId="1" applyAlignment="1" pivotButton="0" quotePrefix="0" xfId="0">
      <alignment horizontal="general" vertical="top"/>
    </xf>
    <xf numFmtId="0" fontId="7" fillId="3" borderId="1" applyAlignment="1" pivotButton="0" quotePrefix="0" xfId="0">
      <alignment horizontal="general" vertical="top" wrapText="1"/>
    </xf>
    <xf numFmtId="0" fontId="7" fillId="4" borderId="1" applyAlignment="1" pivotButton="0" quotePrefix="0" xfId="0">
      <alignment horizontal="general" vertical="top"/>
    </xf>
    <xf numFmtId="0" fontId="9" fillId="5" borderId="1" applyAlignment="1" pivotButton="0" quotePrefix="0" xfId="0">
      <alignment horizontal="general" vertical="top"/>
    </xf>
    <xf numFmtId="0" fontId="7" fillId="5" borderId="1" applyAlignment="1" pivotButton="0" quotePrefix="0" xfId="0">
      <alignment horizontal="general" vertical="top"/>
    </xf>
    <xf numFmtId="0" fontId="7" fillId="5" borderId="1" applyAlignment="1" pivotButton="0" quotePrefix="0" xfId="0">
      <alignment horizontal="general" vertical="top" wrapText="1"/>
    </xf>
    <xf numFmtId="0" fontId="1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9" fontId="6" fillId="0"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3" borderId="1" applyAlignment="1" pivotButton="0" quotePrefix="0" xfId="0">
      <alignment horizontal="general" vertical="top" wrapText="1"/>
    </xf>
    <xf numFmtId="0" fontId="7" fillId="4" borderId="1" applyAlignment="1" pivotButton="0" quotePrefix="0" xfId="0">
      <alignment horizontal="general" vertical="top"/>
    </xf>
    <xf numFmtId="0" fontId="9" fillId="5" borderId="1" applyAlignment="1" pivotButton="0" quotePrefix="0" xfId="0">
      <alignment horizontal="general" vertical="top"/>
    </xf>
    <xf numFmtId="0" fontId="7" fillId="6" borderId="1" applyAlignment="1" pivotButton="0" quotePrefix="0" xfId="0">
      <alignment horizontal="general" vertical="top"/>
    </xf>
    <xf numFmtId="0" fontId="7" fillId="6" borderId="1" applyAlignment="1" pivotButton="0" quotePrefix="0" xfId="0">
      <alignment horizontal="general" vertical="top" wrapText="1"/>
    </xf>
    <xf numFmtId="0" fontId="9" fillId="6" borderId="1" applyAlignment="1" pivotButton="0" quotePrefix="0" xfId="0">
      <alignment horizontal="general" vertical="top"/>
    </xf>
    <xf numFmtId="0" fontId="12" fillId="7" borderId="1" applyAlignment="1" pivotButton="0" quotePrefix="0" xfId="0">
      <alignment horizontal="general" vertical="top"/>
    </xf>
    <xf numFmtId="0" fontId="7" fillId="5" borderId="1" applyAlignment="1" pivotButton="0" quotePrefix="0" xfId="0">
      <alignment horizontal="general" vertical="top"/>
    </xf>
    <xf numFmtId="0" fontId="7" fillId="5" borderId="1" applyAlignment="1" pivotButton="0" quotePrefix="0" xfId="0">
      <alignment horizontal="general" vertical="top" wrapText="1"/>
    </xf>
    <xf numFmtId="0" fontId="1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9" fontId="6" fillId="0" borderId="0" applyAlignment="1" pivotButton="0" quotePrefix="0" xfId="0">
      <alignment horizontal="general" vertical="bottom"/>
    </xf>
    <xf numFmtId="0" fontId="11" fillId="0" borderId="0" applyAlignment="1" pivotButton="0" quotePrefix="0" xfId="0">
      <alignment horizontal="general" vertical="bottom"/>
    </xf>
    <xf numFmtId="0" fontId="13" fillId="0" borderId="0" applyAlignment="1" pivotButton="0" quotePrefix="0" xfId="0">
      <alignment vertical="top"/>
    </xf>
    <xf numFmtId="0" fontId="12" fillId="0" borderId="0" applyAlignment="1" pivotButton="0" quotePrefix="0" xfId="0">
      <alignment vertical="top" wrapText="1"/>
    </xf>
    <xf numFmtId="0" fontId="14" fillId="8" borderId="0" applyAlignment="1" pivotButton="0" quotePrefix="0" xfId="0">
      <alignment horizontal="center" vertical="center" wrapText="1"/>
    </xf>
    <xf numFmtId="0" fontId="15" fillId="0" borderId="2" applyAlignment="1" pivotButton="0" quotePrefix="0" xfId="0">
      <alignment vertical="top" wrapText="1"/>
    </xf>
    <xf numFmtId="0" fontId="12" fillId="0" borderId="2" applyAlignment="1" pivotButton="0" quotePrefix="0" xfId="0">
      <alignment vertical="top" wrapText="1"/>
    </xf>
    <xf numFmtId="0" fontId="14" fillId="9" borderId="0" applyAlignment="1" pivotButton="0" quotePrefix="0" xfId="0">
      <alignment horizontal="center" vertical="center" wrapText="1"/>
    </xf>
    <xf numFmtId="0" fontId="12" fillId="10" borderId="2" applyAlignment="1" pivotButton="0" quotePrefix="0" xfId="0">
      <alignment vertical="top" wrapText="1"/>
    </xf>
    <xf numFmtId="0" fontId="16" fillId="0" borderId="0" pivotButton="0" quotePrefix="0" xfId="0"/>
    <xf numFmtId="0" fontId="12" fillId="0" borderId="0" pivotButton="0" quotePrefix="0" xfId="0"/>
    <xf numFmtId="0" fontId="15" fillId="6" borderId="2" applyAlignment="1" pivotButton="0" quotePrefix="0" xfId="0">
      <alignment vertical="top" wrapText="1"/>
    </xf>
    <xf numFmtId="0" fontId="12" fillId="6" borderId="2" applyAlignment="1" pivotButton="0" quotePrefix="0" xfId="0">
      <alignment vertical="top" wrapText="1"/>
    </xf>
    <xf numFmtId="0" fontId="14" fillId="8" borderId="0" applyAlignment="1" pivotButton="0" quotePrefix="0" xfId="0">
      <alignment horizontal="center" vertical="center"/>
    </xf>
    <xf numFmtId="0" fontId="12" fillId="11" borderId="2" applyAlignment="1" pivotButton="0" quotePrefix="0" xfId="0">
      <alignment vertical="top" wrapText="1"/>
    </xf>
    <xf numFmtId="0" fontId="7" fillId="11" borderId="1" applyAlignment="1" pivotButton="0" quotePrefix="0" xfId="0">
      <alignment horizontal="general" vertical="top"/>
    </xf>
    <xf numFmtId="0" fontId="7" fillId="11" borderId="1" applyAlignment="1" pivotButton="0" quotePrefix="0" xfId="0">
      <alignment horizontal="general" vertical="top" wrapText="1"/>
    </xf>
    <xf numFmtId="0" fontId="15" fillId="11" borderId="2" applyAlignment="1" pivotButton="0" quotePrefix="0" xfId="0">
      <alignment vertical="top" wrapText="1"/>
    </xf>
    <xf numFmtId="0" fontId="9" fillId="11" borderId="1" applyAlignment="1" pivotButton="0" quotePrefix="0" xfId="0">
      <alignment horizontal="general" vertical="top"/>
    </xf>
    <xf numFmtId="0" fontId="14" fillId="12" borderId="0" applyAlignment="1" pivotButton="0" quotePrefix="0" xfId="0">
      <alignment horizontal="center" vertical="center" wrapText="1"/>
    </xf>
    <xf numFmtId="0" fontId="15" fillId="10" borderId="2" applyAlignment="1" pivotButton="0" quotePrefix="0" xfId="0">
      <alignment vertical="top" wrapText="1"/>
    </xf>
    <xf numFmtId="0" fontId="17" fillId="13" borderId="0" applyAlignment="1" pivotButton="0" quotePrefix="0" xfId="0">
      <alignment vertical="center" wrapText="1"/>
    </xf>
    <xf numFmtId="0" fontId="0" fillId="0" borderId="0" applyAlignment="1" pivotButton="0" quotePrefix="0" xfId="0">
      <alignment vertical="top" wrapText="1"/>
    </xf>
    <xf numFmtId="0" fontId="18" fillId="0" borderId="0" applyAlignment="1" pivotButton="0" quotePrefix="0" xfId="0">
      <alignment vertical="top" wrapText="1"/>
    </xf>
    <xf numFmtId="0" fontId="17" fillId="0" borderId="0" pivotButton="0" quotePrefix="0" xfId="0"/>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18" fillId="0" borderId="2" applyAlignment="1" pivotButton="0" quotePrefix="0" xfId="0">
      <alignment vertical="top" wrapText="1"/>
    </xf>
    <xf numFmtId="0" fontId="7" fillId="11" borderId="1" applyAlignment="1" pivotButton="0" quotePrefix="0" xfId="0">
      <alignment vertical="top" wrapText="1"/>
    </xf>
    <xf numFmtId="0" fontId="18" fillId="11" borderId="2" applyAlignment="1" pivotButton="0" quotePrefix="0" xfId="0">
      <alignment vertical="top" wrapText="1"/>
    </xf>
    <xf numFmtId="0" fontId="12" fillId="15" borderId="2" applyAlignment="1" pivotButton="0" quotePrefix="0" xfId="0">
      <alignment vertical="top" wrapText="1"/>
    </xf>
    <xf numFmtId="0" fontId="0" fillId="7"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9C000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s://www.conf-dte.bg/docs/2026/p-2.pdf" TargetMode="External" Id="rId1"/><Relationship Type="http://schemas.openxmlformats.org/officeDocument/2006/relationships/hyperlink" Target="https://www.conf-dte.bg/docs/2026/p-100.pdf" TargetMode="External" Id="rId2"/><Relationship Type="http://schemas.openxmlformats.org/officeDocument/2006/relationships/hyperlink" Target="https://www.conf-dte.bg/docs/2026/p-96.pdf" TargetMode="External" Id="rId3"/><Relationship Type="http://schemas.openxmlformats.org/officeDocument/2006/relationships/hyperlink" Target="https://www.conf-dte.bg/docs/2026/p-124.pdf" TargetMode="External" Id="rId4"/><Relationship Type="http://schemas.openxmlformats.org/officeDocument/2006/relationships/hyperlink" Target="https://www.conf-dte.bg/docs/2026/p-106.pdf" TargetMode="External" Id="rId5"/><Relationship Type="http://schemas.openxmlformats.org/officeDocument/2006/relationships/hyperlink" Target="https://www.conf-dte.bg/docs/2026/p-94.pdf" TargetMode="External" Id="rId6"/><Relationship Type="http://schemas.openxmlformats.org/officeDocument/2006/relationships/hyperlink" Target="https://journals.azbuki.bg/pedagogy/generativen-izkustven-intelekt-v-obrazovanieto-problemi-i-reseniya/view" TargetMode="External" Id="rId7"/><Relationship Type="http://schemas.openxmlformats.org/officeDocument/2006/relationships/hyperlink" Target="https://www.conf-dte.bg/docs/2026/p-3.pdf" TargetMode="External" Id="rId8"/><Relationship Type="http://schemas.openxmlformats.org/officeDocument/2006/relationships/hyperlink" Target="https://www.conf-dte.bg/docs/2025/p-84.pdf" TargetMode="External" Id="rId9"/><Relationship Type="http://schemas.openxmlformats.org/officeDocument/2006/relationships/hyperlink" Target="https://arxiv.org/html/2607.02235v1" TargetMode="External" Id="rId10"/><Relationship Type="http://schemas.openxmlformats.org/officeDocument/2006/relationships/hyperlink" Target="https://angular.dev/reference/releases#release-frequency" TargetMode="External" Id="rId11"/><Relationship Type="http://schemas.openxmlformats.org/officeDocument/2006/relationships/hyperlink" Target="https://joint-research-centre.ec.europa.eu/digcompedu_en" TargetMode="External" Id="rId12"/><Relationship Type="http://schemas.openxmlformats.org/officeDocument/2006/relationships/hyperlink" Target="https://aclanthology.org/2025.emnlp-main.138/" TargetMode="External" Id="rId13"/><Relationship Type="http://schemas.openxmlformats.org/officeDocument/2006/relationships/hyperlink" Target="https://api.openalex.org/works/doi:10.1177/15344843251320256" TargetMode="External" Id="rId14"/><Relationship Type="http://schemas.openxmlformats.org/officeDocument/2006/relationships/hyperlink" Target="https://api.openalex.org/works/doi:10.1109/fie61694.2024.10893132" TargetMode="External" Id="rId15"/><Relationship Type="http://schemas.openxmlformats.org/officeDocument/2006/relationships/hyperlink" Target="https://opus.bibliothek.uni-augsburg.de/opus4/files/109030/109030.pdf" TargetMode="External" Id="rId16"/><Relationship Type="http://schemas.openxmlformats.org/officeDocument/2006/relationships/hyperlink" Target="https://api.openalex.org/works/doi:10.3390/su17198859" TargetMode="External" Id="rId17"/><Relationship Type="http://schemas.openxmlformats.org/officeDocument/2006/relationships/hyperlink" Target="https://www.unesco.org/en/articles/guidance-generative-ai-education-and-research" TargetMode="External" Id="rId18"/><Relationship Type="http://schemas.openxmlformats.org/officeDocument/2006/relationships/hyperlink" Target="https://api.openalex.org/works/doi:10.1007/s11528-024-00967-w" TargetMode="External" Id="rId19"/><Relationship Type="http://schemas.openxmlformats.org/officeDocument/2006/relationships/hyperlink" Target="https://aclanthology.org/2026.eacl-long.191/" TargetMode="External" Id="rId20"/><Relationship Type="http://schemas.openxmlformats.org/officeDocument/2006/relationships/hyperlink" Target="https://api.openalex.org/works/doi:10.1080/10494820.2025.2523390" TargetMode="External" Id="rId21"/><Relationship Type="http://schemas.openxmlformats.org/officeDocument/2006/relationships/hyperlink" Target="https://ieeexplore.ieee.org/document/9262118/" TargetMode="External" Id="rId22"/><Relationship Type="http://schemas.openxmlformats.org/officeDocument/2006/relationships/hyperlink" Target="https://www.mheducation.co.uk/teaching-for-quality-learning-at-university-5e-9780335250820-emea-group" TargetMode="External" Id="rId23"/><Relationship Type="http://schemas.openxmlformats.org/officeDocument/2006/relationships/hyperlink" Target="https://api.openalex.org/works/doi:10.1007/s10648-019-09465-5" TargetMode="External" Id="rId24"/><Relationship Type="http://schemas.openxmlformats.org/officeDocument/2006/relationships/hyperlink" Target="https://arxiv.org/abs/2311.05232" TargetMode="External" Id="rId25"/><Relationship Type="http://schemas.openxmlformats.org/officeDocument/2006/relationships/hyperlink" Target="https://arxiv.org/html/2306.05685v4" TargetMode="External" Id="rId26"/><Relationship Type="http://schemas.openxmlformats.org/officeDocument/2006/relationships/hyperlink" Target="https://api.openalex.org/works/doi:10.1007/bf02505024" TargetMode="External" Id="rId27"/><Relationship Type="http://schemas.openxmlformats.org/officeDocument/2006/relationships/hyperlink" Target="https://link.springer.com/article/10.1186/s41239-019-0171-0" TargetMode="External" Id="rId28"/><Relationship Type="http://schemas.openxmlformats.org/officeDocument/2006/relationships/hyperlink" Target="https://educationaldevelopment.uams.edu/qualitymatters/qm-rubric" TargetMode="External" Id="rId29"/><Relationship Type="http://schemas.openxmlformats.org/officeDocument/2006/relationships/hyperlink" Target="https://www.harvard.com/book/9781394177370" TargetMode="External" Id="rId30"/><Relationship Type="http://schemas.openxmlformats.org/officeDocument/2006/relationships/hyperlink" Target="https://eur-lex.europa.eu/eli/reg/2024/1689/oj" TargetMode="External" Id="rId31"/><Relationship Type="http://schemas.openxmlformats.org/officeDocument/2006/relationships/hyperlink" Target="https://api.openalex.org/works/doi:10.1007/s10639-025-13587-5" TargetMode="External" Id="rId32"/><Relationship Type="http://schemas.openxmlformats.org/officeDocument/2006/relationships/hyperlink" Target="https://www.emerald.com/qae/article/34/2/205/1302250/Enhancing-quality-assurance-through-strategic" TargetMode="External" Id="rId33"/><Relationship Type="http://schemas.openxmlformats.org/officeDocument/2006/relationships/hyperlink" Target="https://unesdoc.unesco.org/ark:/48223/pf0000383205" TargetMode="External" Id="rId34"/><Relationship Type="http://schemas.openxmlformats.org/officeDocument/2006/relationships/hyperlink" Target="https://link.springer.com/content/pdf/10.1007/s10639-024-12549-7.pdf" TargetMode="External" Id="rId35"/><Relationship Type="http://schemas.openxmlformats.org/officeDocument/2006/relationships/hyperlink" Target="https://aclanthology.org/2025.bea-1.10/" TargetMode="External" Id="rId36"/></Relationships>
</file>

<file path=xl/worksheets/_rels/sheet4.xml.rels><Relationships xmlns="http://schemas.openxmlformats.org/package/2006/relationships"><Relationship Type="http://schemas.openxmlformats.org/officeDocument/2006/relationships/hyperlink" Target="https://www.conf-dte.bg/docs/2026/p-2.pdf" TargetMode="External" Id="rId1"/><Relationship Type="http://schemas.openxmlformats.org/officeDocument/2006/relationships/hyperlink" Target="https://www.conf-dte.bg/docs/2026/p-100.pdf" TargetMode="External" Id="rId2"/><Relationship Type="http://schemas.openxmlformats.org/officeDocument/2006/relationships/hyperlink" Target="https://www.conf-dte.bg/docs/2026/p-96.pdf" TargetMode="External" Id="rId3"/><Relationship Type="http://schemas.openxmlformats.org/officeDocument/2006/relationships/hyperlink" Target="https://www.conf-dte.bg/docs/2026/p-124.pdf" TargetMode="External" Id="rId4"/><Relationship Type="http://schemas.openxmlformats.org/officeDocument/2006/relationships/hyperlink" Target="https://www.conf-dte.bg/docs/2026/p-106.pdf" TargetMode="External" Id="rId5"/><Relationship Type="http://schemas.openxmlformats.org/officeDocument/2006/relationships/hyperlink" Target="https://www.conf-dte.bg/docs/2026/p-94.pdf" TargetMode="External" Id="rId6"/><Relationship Type="http://schemas.openxmlformats.org/officeDocument/2006/relationships/hyperlink" Target="https://journals.azbuki.bg/pedagogy/generativen-izkustven-intelekt-v-obrazovanieto-problemi-i-reseniya/view" TargetMode="External" Id="rId7"/><Relationship Type="http://schemas.openxmlformats.org/officeDocument/2006/relationships/hyperlink" Target="https://www.conf-dte.bg/docs/2026/p-3.pdf" TargetMode="External" Id="rId8"/><Relationship Type="http://schemas.openxmlformats.org/officeDocument/2006/relationships/hyperlink" Target="https://www.conf-dte.bg/docs/2025/p-84.pdf" TargetMode="External" Id="rId9"/><Relationship Type="http://schemas.openxmlformats.org/officeDocument/2006/relationships/hyperlink" Target="https://arxiv.org/html/2607.02235v1" TargetMode="External" Id="rId10"/><Relationship Type="http://schemas.openxmlformats.org/officeDocument/2006/relationships/hyperlink" Target="https://doi.org/10.19173/irrodl.v13i2.1161" TargetMode="External" Id="rId11"/><Relationship Type="http://schemas.openxmlformats.org/officeDocument/2006/relationships/hyperlink" Target="https://joint-research-centre.ec.europa.eu/digcompedu_en" TargetMode="External" Id="rId12"/><Relationship Type="http://schemas.openxmlformats.org/officeDocument/2006/relationships/hyperlink" Target="https://aclanthology.org/2025.emnlp-main.138/" TargetMode="External" Id="rId13"/><Relationship Type="http://schemas.openxmlformats.org/officeDocument/2006/relationships/hyperlink" Target="https://api.openalex.org/works/doi:10.1177/15344843251320256" TargetMode="External" Id="rId14"/><Relationship Type="http://schemas.openxmlformats.org/officeDocument/2006/relationships/hyperlink" Target="https://api.openalex.org/works/doi:10.1109/fie61694.2024.10893132" TargetMode="External" Id="rId15"/><Relationship Type="http://schemas.openxmlformats.org/officeDocument/2006/relationships/hyperlink" Target="https://opus.bibliothek.uni-augsburg.de/opus4/files/109030/109030.pdf" TargetMode="External" Id="rId16"/><Relationship Type="http://schemas.openxmlformats.org/officeDocument/2006/relationships/hyperlink" Target="https://api.openalex.org/works/doi:10.3390/su17198859" TargetMode="External" Id="rId17"/><Relationship Type="http://schemas.openxmlformats.org/officeDocument/2006/relationships/hyperlink" Target="https://www.unesco.org/en/articles/guidance-generative-ai-education-and-research" TargetMode="External" Id="rId18"/><Relationship Type="http://schemas.openxmlformats.org/officeDocument/2006/relationships/hyperlink" Target="https://link.springer.com/article/10.1007/s40593-019-00186-y" TargetMode="External" Id="rId19"/><Relationship Type="http://schemas.openxmlformats.org/officeDocument/2006/relationships/hyperlink" Target="https://link.springer.com/article/10.1007/s11528-024-00987-6" TargetMode="External" Id="rId20"/><Relationship Type="http://schemas.openxmlformats.org/officeDocument/2006/relationships/hyperlink" Target="https://api.openalex.org/works/doi:10.1007/s11528-024-00967-w" TargetMode="External" Id="rId21"/><Relationship Type="http://schemas.openxmlformats.org/officeDocument/2006/relationships/hyperlink" Target="https://doi.org/10.1016/j.actpsy.2026.106874" TargetMode="External" Id="rId22"/><Relationship Type="http://schemas.openxmlformats.org/officeDocument/2006/relationships/hyperlink" Target="https://aclanthology.org/2026.eacl-long.191/" TargetMode="External" Id="rId23"/><Relationship Type="http://schemas.openxmlformats.org/officeDocument/2006/relationships/hyperlink" Target="https://arxiv.org/abs/1903.12282" TargetMode="External" Id="rId24"/><Relationship Type="http://schemas.openxmlformats.org/officeDocument/2006/relationships/hyperlink" Target="https://www.mheducation.co.uk/teaching-for-quality-learning-at-university-5e-9780335250820-emea-group" TargetMode="External" Id="rId25"/><Relationship Type="http://schemas.openxmlformats.org/officeDocument/2006/relationships/hyperlink" Target="https://api.openalex.org/works/doi:10.1007/s10648-019-09465-5" TargetMode="External" Id="rId26"/><Relationship Type="http://schemas.openxmlformats.org/officeDocument/2006/relationships/hyperlink" Target="https://arxiv.org/abs/2311.05232" TargetMode="External" Id="rId27"/><Relationship Type="http://schemas.openxmlformats.org/officeDocument/2006/relationships/hyperlink" Target="https://arxiv.org/html/2306.05685v4" TargetMode="External" Id="rId28"/><Relationship Type="http://schemas.openxmlformats.org/officeDocument/2006/relationships/hyperlink" Target="https://api.openalex.org/works/doi:10.1007/bf02505024" TargetMode="External" Id="rId29"/><Relationship Type="http://schemas.openxmlformats.org/officeDocument/2006/relationships/hyperlink" Target="https://link.springer.com/article/10.1007/s40979-026-00213-1" TargetMode="External" Id="rId30"/><Relationship Type="http://schemas.openxmlformats.org/officeDocument/2006/relationships/hyperlink" Target="https://openjournals.libs.uga.edu/jutlp/article/view/3212" TargetMode="External" Id="rId31"/><Relationship Type="http://schemas.openxmlformats.org/officeDocument/2006/relationships/hyperlink" Target="https://doi.org/10.1162/tacl_a_00638" TargetMode="External" Id="rId32"/><Relationship Type="http://schemas.openxmlformats.org/officeDocument/2006/relationships/hyperlink" Target="https://link.springer.com/article/10.1186/s41239-019-0171-0" TargetMode="External" Id="rId33"/><Relationship Type="http://schemas.openxmlformats.org/officeDocument/2006/relationships/hyperlink" Target="https://arxiv.org/abs/2306.10509" TargetMode="External" Id="rId34"/><Relationship Type="http://schemas.openxmlformats.org/officeDocument/2006/relationships/hyperlink" Target="https://webstore.ansi.org/preview-pages/ISO/preview_ISO+24495-1-2023.pdf" TargetMode="External" Id="rId35"/><Relationship Type="http://schemas.openxmlformats.org/officeDocument/2006/relationships/hyperlink" Target="https://www.mdpi.com/2079-8954/13/3/174" TargetMode="External" Id="rId36"/><Relationship Type="http://schemas.openxmlformats.org/officeDocument/2006/relationships/hyperlink" Target="https://www.wiley.com/en-us/e+Learning+and+the+Science+of+Instruction-p-9781119158660" TargetMode="External" Id="rId37"/><Relationship Type="http://schemas.openxmlformats.org/officeDocument/2006/relationships/hyperlink" Target="https://doi.org/10.1016/j.jarmac.2021.03.007" TargetMode="External" Id="rId38"/><Relationship Type="http://schemas.openxmlformats.org/officeDocument/2006/relationships/hyperlink" Target="https://eur-lex.europa.eu/eli/reg/2024/1689/oj" TargetMode="External" Id="rId39"/><Relationship Type="http://schemas.openxmlformats.org/officeDocument/2006/relationships/hyperlink" Target="https://api.openalex.org/works/doi:10.1007/s10639-025-13587-5" TargetMode="External" Id="rId40"/><Relationship Type="http://schemas.openxmlformats.org/officeDocument/2006/relationships/hyperlink" Target="https://www.emerald.com/qae/article/34/2/205/1302250/Enhancing-quality-assurance-through-strategic" TargetMode="External" Id="rId41"/><Relationship Type="http://schemas.openxmlformats.org/officeDocument/2006/relationships/hyperlink" Target="https://unesdoc.unesco.org/ark:/48223/pf0000383205" TargetMode="External" Id="rId42"/><Relationship Type="http://schemas.openxmlformats.org/officeDocument/2006/relationships/hyperlink" Target="https://www.nature.com/articles/s41598-023-41032-5" TargetMode="External" Id="rId43"/><Relationship Type="http://schemas.openxmlformats.org/officeDocument/2006/relationships/hyperlink" Target="https://arxiv.org/abs/2303.18223" TargetMode="External" Id="rId44"/><Relationship Type="http://schemas.openxmlformats.org/officeDocument/2006/relationships/hyperlink" Target="https://arxiv.org/abs/2312.10997" TargetMode="External" Id="rId45"/><Relationship Type="http://schemas.openxmlformats.org/officeDocument/2006/relationships/hyperlink" Target="https://doi.org/10.3390/su151712983" TargetMode="External" Id="rId46"/><Relationship Type="http://schemas.openxmlformats.org/officeDocument/2006/relationships/hyperlink" Target="https://aclanthology.org/2025.bea-1.10/" TargetMode="External" Id="rId47"/><Relationship Type="http://schemas.openxmlformats.org/officeDocument/2006/relationships/hyperlink" Target="https://doi.org/10.1016/j.compedu.2019.04.003" TargetMode="External" Id="rId48"/><Relationship Type="http://schemas.openxmlformats.org/officeDocument/2006/relationships/hyperlink" Target="https://www.imsglobal.org/resource/AI-Generated_Content_Best_Practices/v1p0" TargetMode="External" Id="rId49"/><Relationship Type="http://schemas.openxmlformats.org/officeDocument/2006/relationships/hyperlink" Target="https://angular.dev/reference/releases" TargetMode="External" Id="rId50"/><Relationship Type="http://schemas.openxmlformats.org/officeDocument/2006/relationships/hyperlink" Target="https://udlguidelines.cast.org/" TargetMode="External" Id="rId51"/><Relationship Type="http://schemas.openxmlformats.org/officeDocument/2006/relationships/hyperlink" Target="https://ieeexplore.ieee.org/document/9262118/" TargetMode="External" Id="rId52"/><Relationship Type="http://schemas.openxmlformats.org/officeDocument/2006/relationships/hyperlink" Target="https://educationaldevelopment.uams.edu/qualitymatters/qm-rubric" TargetMode="External" Id="rId53"/></Relationships>
</file>

<file path=xl/worksheets/_rels/sheet6.xml.rels><Relationships xmlns="http://schemas.openxmlformats.org/package/2006/relationships"><Relationship Type="http://schemas.openxmlformats.org/officeDocument/2006/relationships/hyperlink" Target="https://www.irrodl.org/index.php/irrodl/article/view/1161" TargetMode="External" Id="rId1"/><Relationship Type="http://schemas.openxmlformats.org/officeDocument/2006/relationships/hyperlink" Target="https://publications.jrc.ec.europa.eu/repository/bitstream/JRC107466/pdf_digcomedu_a4_final.pdf" TargetMode="External" Id="rId2"/><Relationship Type="http://schemas.openxmlformats.org/officeDocument/2006/relationships/hyperlink" Target="https://www.sciencedirect.com/science/article/pii/S2211368121000231" TargetMode="External" Id="rId3"/><Relationship Type="http://schemas.openxmlformats.org/officeDocument/2006/relationships/hyperlink" Target="https://www.mdpi.com/2071-1050/17/19/8859" TargetMode="External" Id="rId4"/><Relationship Type="http://schemas.openxmlformats.org/officeDocument/2006/relationships/hyperlink" Target="https://unesdoc.unesco.org/ark:/48223/pf0000383205" TargetMode="External" Id="rId5"/><Relationship Type="http://schemas.openxmlformats.org/officeDocument/2006/relationships/hyperlink" Target="https://www.imsglobal.org/metadata/mdv1p3/imsmd_bestv1p3.html" TargetMode="External" Id="rId6"/><Relationship Type="http://schemas.openxmlformats.org/officeDocument/2006/relationships/hyperlink" Target="https://arxiv.org/abs/1903.12282" TargetMode="External" Id="rId7"/><Relationship Type="http://schemas.openxmlformats.org/officeDocument/2006/relationships/hyperlink" Target="https://www.imsglobal.org/resource/AI-Generated_Content_Best_Practices/v1p0" TargetMode="External" Id="rId8"/><Relationship Type="http://schemas.openxmlformats.org/officeDocument/2006/relationships/hyperlink" Target="https://link.springer.com/article/10.1007/BF02505024" TargetMode="External" Id="rId9"/><Relationship Type="http://schemas.openxmlformats.org/officeDocument/2006/relationships/hyperlink" Target="https://link.springer.com/article/10.1007/BF00138871" TargetMode="External" Id="rId10"/><Relationship Type="http://schemas.openxmlformats.org/officeDocument/2006/relationships/hyperlink" Target="https://link.springer.com/article/10.1007/s10648-019-09465-5" TargetMode="External" Id="rId11"/><Relationship Type="http://schemas.openxmlformats.org/officeDocument/2006/relationships/hyperlink" Target="https://www.sciencedirect.com/science/article/pii/S2211368121000231" TargetMode="External" Id="rId12"/><Relationship Type="http://schemas.openxmlformats.org/officeDocument/2006/relationships/hyperlink" Target="https://doi.org/10.1016/j.jarmac.2021.03.007" TargetMode="External" Id="rId13"/><Relationship Type="http://schemas.openxmlformats.org/officeDocument/2006/relationships/hyperlink" Target="https://publications.jrc.ec.europa.eu/repository/bitstream/JRC107466/pdf_digcomedu_a4_final.pdf" TargetMode="External" Id="rId14"/><Relationship Type="http://schemas.openxmlformats.org/officeDocument/2006/relationships/hyperlink" Target="https://www.sciencedirect.com/science/article/abs/pii/S036013151930082X" TargetMode="External" Id="rId15"/><Relationship Type="http://schemas.openxmlformats.org/officeDocument/2006/relationships/hyperlink" Target="https://www.tandfonline.com/doi/full/10.1080/10494820.2025.2523390" TargetMode="External" Id="rId16"/><Relationship Type="http://schemas.openxmlformats.org/officeDocument/2006/relationships/hyperlink" Target="https://www.qualitymatters.org/qa-resources/rubric-standards/higher-ed-rubric" TargetMode="External" Id="rId17"/><Relationship Type="http://schemas.openxmlformats.org/officeDocument/2006/relationships/hyperlink" Target="https://www.mdpi.com/2071-1050/15/17/12983" TargetMode="External" Id="rId18"/><Relationship Type="http://schemas.openxmlformats.org/officeDocument/2006/relationships/hyperlink" Target="https://www.sciencedirect.com/science/article/pii/S1041608023000195" TargetMode="External" Id="rId19"/><Relationship Type="http://schemas.openxmlformats.org/officeDocument/2006/relationships/hyperlink" Target="https://opus.bibliothek.uni-augsburg.de/opus4/files/109030/109030.pdf" TargetMode="External" Id="rId20"/><Relationship Type="http://schemas.openxmlformats.org/officeDocument/2006/relationships/hyperlink" Target="https://www.mdpi.com/2071-1050/15/17/12983" TargetMode="External" Id="rId21"/><Relationship Type="http://schemas.openxmlformats.org/officeDocument/2006/relationships/hyperlink" Target="https://arxiv.org/html/2311.05232v2" TargetMode="External" Id="rId22"/><Relationship Type="http://schemas.openxmlformats.org/officeDocument/2006/relationships/hyperlink" Target="https://opus.bibliothek.uni-augsburg.de/opus4/files/109030/109030.pdf" TargetMode="External" Id="rId23"/><Relationship Type="http://schemas.openxmlformats.org/officeDocument/2006/relationships/hyperlink" Target="https://arxiv.org/html/2311.05232v2" TargetMode="External" Id="rId24"/><Relationship Type="http://schemas.openxmlformats.org/officeDocument/2006/relationships/hyperlink" Target="https://www.mdpi.com/2071-1050/15/17/12983" TargetMode="External" Id="rId25"/><Relationship Type="http://schemas.openxmlformats.org/officeDocument/2006/relationships/hyperlink" Target="https://opus.bibliothek.uni-augsburg.de/opus4/files/109030/109030.pdf" TargetMode="External" Id="rId26"/><Relationship Type="http://schemas.openxmlformats.org/officeDocument/2006/relationships/hyperlink" Target="https://arxiv.org/html/2308.12276v3" TargetMode="External" Id="rId27"/><Relationship Type="http://schemas.openxmlformats.org/officeDocument/2006/relationships/hyperlink" Target="https://journals.sagepub.com/doi/10.1177/15344843251320256" TargetMode="External" Id="rId28"/><Relationship Type="http://schemas.openxmlformats.org/officeDocument/2006/relationships/hyperlink" Target="https://www.conf-dte.bg/docs/2026/p-96.pdf" TargetMode="External" Id="rId29"/><Relationship Type="http://schemas.openxmlformats.org/officeDocument/2006/relationships/hyperlink" Target="https://aclanthology.org/2025.bea-1.10.pdf" TargetMode="External" Id="rId30"/><Relationship Type="http://schemas.openxmlformats.org/officeDocument/2006/relationships/hyperlink" Target="https://arxiv.org/abs/2508.19611" TargetMode="External" Id="rId31"/><Relationship Type="http://schemas.openxmlformats.org/officeDocument/2006/relationships/hyperlink" Target="https://www.conf-dte.bg/docs/2026/p-3.pdf" TargetMode="External" Id="rId32"/><Relationship Type="http://schemas.openxmlformats.org/officeDocument/2006/relationships/hyperlink" Target="https://www.conf-dte.bg/docs/2026/p-94.pdf" TargetMode="External" Id="rId33"/><Relationship Type="http://schemas.openxmlformats.org/officeDocument/2006/relationships/hyperlink" Target="https://www.conf-dte.bg/docs/2026/p-100.pdf" TargetMode="External" Id="rId34"/><Relationship Type="http://schemas.openxmlformats.org/officeDocument/2006/relationships/hyperlink" Target="https://www.conf-dte.bg/docs/2026/p-94.pdf" TargetMode="External" Id="rId35"/><Relationship Type="http://schemas.openxmlformats.org/officeDocument/2006/relationships/hyperlink" Target="https://link.springer.com/article/10.1007/s11528-024-00967-w" TargetMode="External" Id="rId36"/><Relationship Type="http://schemas.openxmlformats.org/officeDocument/2006/relationships/hyperlink" Target="https://link.springer.com/article/10.1007/s11528-024-00967-w" TargetMode="External" Id="rId37"/><Relationship Type="http://schemas.openxmlformats.org/officeDocument/2006/relationships/hyperlink" Target="https://link.springer.com/article/10.1186/s41239-019-0171-0" TargetMode="External" Id="rId38"/><Relationship Type="http://schemas.openxmlformats.org/officeDocument/2006/relationships/hyperlink" Target="https://link.springer.com/content/pdf/10.1007/s11528-024-00967-w.pdf" TargetMode="External" Id="rId39"/><Relationship Type="http://schemas.openxmlformats.org/officeDocument/2006/relationships/hyperlink" Target="https://www.mdpi.com/2071-1050/15/17/12983" TargetMode="External" Id="rId40"/><Relationship Type="http://schemas.openxmlformats.org/officeDocument/2006/relationships/hyperlink" Target="https://link.springer.com/content/pdf/10.1007/s11528-024-00967-w.pdf" TargetMode="External" Id="rId41"/><Relationship Type="http://schemas.openxmlformats.org/officeDocument/2006/relationships/hyperlink" Target="https://opus.bibliothek.uni-augsburg.de/opus4/files/109030/109030.pdf" TargetMode="External" Id="rId42"/><Relationship Type="http://schemas.openxmlformats.org/officeDocument/2006/relationships/hyperlink" Target="https://link.springer.com/content/pdf/10.1007/s11528-024-00967-w.pdf" TargetMode="External" Id="rId43"/><Relationship Type="http://schemas.openxmlformats.org/officeDocument/2006/relationships/hyperlink" Target="https://www.conf-dte.bg/docs/2026/p-106.pdf" TargetMode="External" Id="rId44"/><Relationship Type="http://schemas.openxmlformats.org/officeDocument/2006/relationships/hyperlink" Target="https://www.conf-dte.bg/docs/2026/p-124.pdf" TargetMode="External" Id="rId45"/><Relationship Type="http://schemas.openxmlformats.org/officeDocument/2006/relationships/hyperlink" Target="https://www.emerald.com/qae/article/34/2/205/1302250/Enhancing-quality-assurance-through-strategic" TargetMode="External" Id="rId46"/><Relationship Type="http://schemas.openxmlformats.org/officeDocument/2006/relationships/hyperlink" Target="https://opus.bibliothek.uni-augsburg.de/opus4/files/109030/109030.pdf" TargetMode="External" Id="rId47"/><Relationship Type="http://schemas.openxmlformats.org/officeDocument/2006/relationships/hyperlink" Target="https://www.sciencedirect.com/science/article/pii/S000169182600675X" TargetMode="External" Id="rId48"/><Relationship Type="http://schemas.openxmlformats.org/officeDocument/2006/relationships/hyperlink" Target="https://www.sciencedirect.com/science/article/pii/S1041608023000195" TargetMode="External" Id="rId49"/><Relationship Type="http://schemas.openxmlformats.org/officeDocument/2006/relationships/hyperlink" Target="https://www.emerald.com/qae/article/34/2/205/1302250/Enhancing-quality-assurance-through-strategic" TargetMode="External" Id="rId50"/><Relationship Type="http://schemas.openxmlformats.org/officeDocument/2006/relationships/hyperlink" Target="https://table.media/wp-content/uploads/2023/09/386693eng.pdf" TargetMode="External" Id="rId51"/><Relationship Type="http://schemas.openxmlformats.org/officeDocument/2006/relationships/hyperlink" Target="https://www.conf-dte.bg/docs/2026/p-2.pdf" TargetMode="External" Id="rId52"/><Relationship Type="http://schemas.openxmlformats.org/officeDocument/2006/relationships/hyperlink" Target="https://artificialintelligenceact.eu/article/50/" TargetMode="External" Id="rId53"/><Relationship Type="http://schemas.openxmlformats.org/officeDocument/2006/relationships/hyperlink" Target="https://www.conf-dte.bg/docs/2025/p-84.pdf" TargetMode="External" Id="rId54"/><Relationship Type="http://schemas.openxmlformats.org/officeDocument/2006/relationships/hyperlink" Target="https://www.sciencedirect.com/science/article/pii/S1041608023000195" TargetMode="External" Id="rId55"/><Relationship Type="http://schemas.openxmlformats.org/officeDocument/2006/relationships/hyperlink" Target="https://opus.bibliothek.uni-augsburg.de/opus4/files/109030/109030.pdf" TargetMode="External" Id="rId56"/><Relationship Type="http://schemas.openxmlformats.org/officeDocument/2006/relationships/hyperlink" Target="https://www.sciencedirect.com/science/article/pii/S2211368121000231" TargetMode="External" Id="rId57"/><Relationship Type="http://schemas.openxmlformats.org/officeDocument/2006/relationships/hyperlink" Target="https://educationaldevelopment.uams.edu/qualitymatters/qm-rubric" TargetMode="External" Id="rId58"/><Relationship Type="http://schemas.openxmlformats.org/officeDocument/2006/relationships/hyperlink" Target="https://link.springer.com/article/10.1007/s10639-025-13587-5" TargetMode="External" Id="rId59"/><Relationship Type="http://schemas.openxmlformats.org/officeDocument/2006/relationships/hyperlink" Target="https://arxiv.org/html/2306.05685v4" TargetMode="External" Id="rId60"/><Relationship Type="http://schemas.openxmlformats.org/officeDocument/2006/relationships/hyperlink" Target="https://arxiv.org/html/2411.16594v5" TargetMode="External" Id="rId61"/><Relationship Type="http://schemas.openxmlformats.org/officeDocument/2006/relationships/hyperlink" Target="https://arxiv.org/html/2411.16594v5" TargetMode="External" Id="rId62"/><Relationship Type="http://schemas.openxmlformats.org/officeDocument/2006/relationships/hyperlink" Target="https://arxiv.org/html/2607.02235v1" TargetMode="External" Id="rId63"/><Relationship Type="http://schemas.openxmlformats.org/officeDocument/2006/relationships/hyperlink" Target="https://journals.azbuki.bg/pedagogy/generativen-izkustven-intelekt-v-obrazovanieto-problemi-i-reseniya/view" TargetMode="External" Id="rId64"/><Relationship Type="http://schemas.openxmlformats.org/officeDocument/2006/relationships/hyperlink" Target="https://arxiv.org/html/2411.16594v5" TargetMode="External" Id="rId65"/><Relationship Type="http://schemas.openxmlformats.org/officeDocument/2006/relationships/hyperlink" Target="https://arxiv.org/html/2306.05685v4" TargetMode="External" Id="rId66"/><Relationship Type="http://schemas.openxmlformats.org/officeDocument/2006/relationships/hyperlink" Target="https://arxiv.org/html/2607.02235v1" TargetMode="External" Id="rId67"/><Relationship Type="http://schemas.openxmlformats.org/officeDocument/2006/relationships/hyperlink" Target="https://aclanthology.org/2025.bea-1.10/" TargetMode="External" Id="rId68"/><Relationship Type="http://schemas.openxmlformats.org/officeDocument/2006/relationships/hyperlink" Target="https://www.imsglobal.org/resource/AI-Generated_Content_Best_Practices/v1p0" TargetMode="External" Id="rId69"/><Relationship Type="http://schemas.openxmlformats.org/officeDocument/2006/relationships/hyperlink" Target="https://www.imsglobal.org/resource/AI-Generated_Content_Best_Practices/v1p0" TargetMode="External" Id="rId70"/></Relationships>
</file>

<file path=xl/worksheets/_rels/sheet9.xml.rels><Relationships xmlns="http://schemas.openxmlformats.org/package/2006/relationships"><Relationship Type="http://schemas.openxmlformats.org/officeDocument/2006/relationships/hyperlink" Target="https://angular.dev/reference/releases" TargetMode="External" Id="rId1"/><Relationship Type="http://schemas.openxmlformats.org/officeDocument/2006/relationships/hyperlink" Target="https://udlguidelines.cast.org/" TargetMode="External" Id="rId2"/><Relationship Type="http://schemas.openxmlformats.org/officeDocument/2006/relationships/hyperlink" Target="https://link.springer.com/article/10.1007/s40593-019-00186-y" TargetMode="External" Id="rId3"/><Relationship Type="http://schemas.openxmlformats.org/officeDocument/2006/relationships/hyperlink" Target="https://link.springer.com/article/10.1007/s11528-024-00987-6" TargetMode="External" Id="rId4"/><Relationship Type="http://schemas.openxmlformats.org/officeDocument/2006/relationships/hyperlink" Target="https://link.springer.com/article/10.1007/s40979-026-00213-1" TargetMode="External" Id="rId5"/><Relationship Type="http://schemas.openxmlformats.org/officeDocument/2006/relationships/hyperlink" Target="https://openjournals.libs.uga.edu/jutlp/article/view/3212" TargetMode="External" Id="rId6"/><Relationship Type="http://schemas.openxmlformats.org/officeDocument/2006/relationships/hyperlink" Target="https://arxiv.org/abs/2306.10509" TargetMode="External" Id="rId7"/><Relationship Type="http://schemas.openxmlformats.org/officeDocument/2006/relationships/hyperlink" Target="https://webstore.ansi.org/preview-pages/ISO/preview_ISO+24495-1-2023.pdf" TargetMode="External" Id="rId8"/><Relationship Type="http://schemas.openxmlformats.org/officeDocument/2006/relationships/hyperlink" Target="https://www.mdpi.com/2079-8954/13/3/174" TargetMode="External" Id="rId9"/><Relationship Type="http://schemas.openxmlformats.org/officeDocument/2006/relationships/hyperlink" Target="https://www.nature.com/articles/s41598-023-41032-5" TargetMode="External" Id="rId10"/></Relationships>
</file>

<file path=xl/worksheets/_rels/sheet10.xml.rels><Relationships xmlns="http://schemas.openxmlformats.org/package/2006/relationships"><Relationship Type="http://schemas.openxmlformats.org/officeDocument/2006/relationships/hyperlink" Target="https://journals.azbuki.bg/pedagogy/generativen-izkustven-intelekt-v-obrazovanieto-problemi-i-reseniya/view" TargetMode="External" Id="rId1"/><Relationship Type="http://schemas.openxmlformats.org/officeDocument/2006/relationships/hyperlink" Target="https://www.mdpi.com/2079-8954/13/3/174" TargetMode="External" Id="rId2"/><Relationship Type="http://schemas.openxmlformats.org/officeDocument/2006/relationships/hyperlink" Target="https://arxiv.org/abs/2508.19611" TargetMode="External" Id="rId3"/><Relationship Type="http://schemas.openxmlformats.org/officeDocument/2006/relationships/hyperlink" Target="https://www.emerald.com/qae/article/34/2/205/1302250/Enhancing-quality-assurance-through-strategic" TargetMode="External" Id="rId4"/><Relationship Type="http://schemas.openxmlformats.org/officeDocument/2006/relationships/hyperlink" Target="https://arxiv.org/html/2311.05232v3" TargetMode="External" Id="rId5"/><Relationship Type="http://schemas.openxmlformats.org/officeDocument/2006/relationships/hyperlink" Target="https://arxiv.org/abs/2306.10509" TargetMode="External" Id="rId6"/><Relationship Type="http://schemas.openxmlformats.org/officeDocument/2006/relationships/hyperlink" Target="https://angular.dev/reference/releases" TargetMode="External" Id="rId7"/><Relationship Type="http://schemas.openxmlformats.org/officeDocument/2006/relationships/hyperlink" Target="https://www.nature.com/articles/s41598-023-41032-5" TargetMode="External" Id="rId8"/><Relationship Type="http://schemas.openxmlformats.org/officeDocument/2006/relationships/hyperlink" Target="https://www.nature.com/articles/s41598-023-41032-5" TargetMode="External" Id="rId9"/><Relationship Type="http://schemas.openxmlformats.org/officeDocument/2006/relationships/hyperlink" Target="https://www.sciencedirect.com/science/article/pii/S2211368121000231" TargetMode="External" Id="rId10"/><Relationship Type="http://schemas.openxmlformats.org/officeDocument/2006/relationships/hyperlink" Target="https://link.springer.com/article/10.1007/BF02505024" TargetMode="External" Id="rId11"/><Relationship Type="http://schemas.openxmlformats.org/officeDocument/2006/relationships/hyperlink" Target="https://aclanthology.org/2025.bea-1.10.pdf" TargetMode="External" Id="rId12"/><Relationship Type="http://schemas.openxmlformats.org/officeDocument/2006/relationships/hyperlink" Target="https://link.springer.com/article/10.1007/s40593-019-00186-y" TargetMode="External" Id="rId13"/><Relationship Type="http://schemas.openxmlformats.org/officeDocument/2006/relationships/hyperlink" Target="https://www.conf-dte.bg/docs/2026/p-100.pdf" TargetMode="External" Id="rId14"/><Relationship Type="http://schemas.openxmlformats.org/officeDocument/2006/relationships/hyperlink" Target="https://opus.bibliothek.uni-augsburg.de/opus4/files/109030/109030.pdf" TargetMode="External" Id="rId15"/><Relationship Type="http://schemas.openxmlformats.org/officeDocument/2006/relationships/hyperlink" Target="https://webstore.ansi.org/preview-pages/ISO/preview_ISO+24495-1-2023.pdf" TargetMode="External" Id="rId16"/><Relationship Type="http://schemas.openxmlformats.org/officeDocument/2006/relationships/hyperlink" Target="https://www.conf-dte.bg/docs/2026/p-100.pdf" TargetMode="External" Id="rId17"/><Relationship Type="http://schemas.openxmlformats.org/officeDocument/2006/relationships/hyperlink" Target="https://www.sciencedirect.com/science/article/pii/S2211368121000231" TargetMode="External" Id="rId18"/><Relationship Type="http://schemas.openxmlformats.org/officeDocument/2006/relationships/hyperlink" Target="https://udlguidelines.cast.org" TargetMode="External" Id="rId19"/><Relationship Type="http://schemas.openxmlformats.org/officeDocument/2006/relationships/hyperlink" Target="https://link.springer.com/article/10.1007/s11528-024-00987-6" TargetMode="External" Id="rId20"/><Relationship Type="http://schemas.openxmlformats.org/officeDocument/2006/relationships/hyperlink" Target="https://link.springer.com/article/10.1007/s40979-026-00213-1" TargetMode="External" Id="rId21"/><Relationship Type="http://schemas.openxmlformats.org/officeDocument/2006/relationships/hyperlink" Target="https://www.conf-dte.bg/docs/2026/p-2.pdf" TargetMode="External" Id="rId22"/><Relationship Type="http://schemas.openxmlformats.org/officeDocument/2006/relationships/hyperlink" Target="https://open-publishing.org/journals/index.php/jutlp/article/view/635" TargetMode="External" Id="rId23"/><Relationship Type="http://schemas.openxmlformats.org/officeDocument/2006/relationships/hyperlink" Target="https://opus.bibliothek.uni-augsburg.de/opus4/files/109030/109030.pdf" TargetMode="External" Id="rId24"/><Relationship Type="http://schemas.openxmlformats.org/officeDocument/2006/relationships/hyperlink" Target="https://arxiv.org/abs/2306.10509" TargetMode="External" Id="rId25"/><Relationship Type="http://schemas.openxmlformats.org/officeDocument/2006/relationships/hyperlink" Target="https://aclanthology.org/2025.bea-1.10.pdf" TargetMode="External" Id="rId26"/><Relationship Type="http://schemas.openxmlformats.org/officeDocument/2006/relationships/hyperlink" Target="https://opus.bibliothek.uni-augsburg.de/opus4/files/109030/109030.pdf" TargetMode="External" Id="rId27"/><Relationship Type="http://schemas.openxmlformats.org/officeDocument/2006/relationships/hyperlink" Target="https://www.conf-dte.bg/docs/2026/p-100.pdf" TargetMode="External" Id="rId28"/><Relationship Type="http://schemas.openxmlformats.org/officeDocument/2006/relationships/hyperlink" Target="https://angular.dev/reference/releases" TargetMode="External" Id="rId29"/></Relationships>
</file>

<file path=xl/worksheets/_rels/sheet12.xml.rels><Relationships xmlns="http://schemas.openxmlformats.org/package/2006/relationships"><Relationship Type="http://schemas.openxmlformats.org/officeDocument/2006/relationships/hyperlink" Target="https://www.imsglobal.org/resource/AI-Generated_Content_Best_Practices/v1p0" TargetMode="External" Id="rId1"/><Relationship Type="http://schemas.openxmlformats.org/officeDocument/2006/relationships/hyperlink" Target="https://link.springer.com/article/10.1007/BF02505024" TargetMode="External" Id="rId2"/><Relationship Type="http://schemas.openxmlformats.org/officeDocument/2006/relationships/hyperlink" Target="https://aclanthology.org/2025.bea-1.10/" TargetMode="External" Id="rId3"/></Relationships>
</file>

<file path=xl/worksheets/sheet1.xml><?xml version="1.0" encoding="utf-8"?>
<worksheet xmlns="http://schemas.openxmlformats.org/spreadsheetml/2006/main">
  <sheetPr>
    <outlinePr summaryBelow="1" summaryRight="1"/>
    <pageSetUpPr/>
  </sheetPr>
  <dimension ref="A1:I86"/>
  <sheetViews>
    <sheetView workbookViewId="0">
      <pane ySplit="1" topLeftCell="A2" activePane="bottomLeft" state="frozen"/>
      <selection pane="bottomLeft" activeCell="A1" sqref="A1"/>
    </sheetView>
  </sheetViews>
  <sheetFormatPr baseColWidth="8" defaultRowHeight="15" outlineLevelCol="0"/>
  <cols>
    <col width="26" customWidth="1" style="22" min="1" max="1"/>
    <col width="8" customWidth="1" style="22" min="2" max="2"/>
    <col width="14" customWidth="1" style="22" min="3" max="3"/>
    <col width="86" customWidth="1" style="22" min="4" max="4"/>
    <col width="20" customWidth="1" style="22" min="5" max="5"/>
    <col width="7" customWidth="1" style="22" min="6" max="6"/>
    <col width="20" customWidth="1" style="22" min="7" max="7"/>
    <col width="16" customWidth="1" style="22" min="8" max="8"/>
    <col width="12" customWidth="1" style="22" min="9" max="9"/>
  </cols>
  <sheetData>
    <row r="1">
      <c r="A1" s="64" t="inlineStr">
        <is>
          <t>Вид дупка</t>
        </is>
      </c>
      <c r="B1" s="64" t="inlineStr">
        <is>
          <t>Абзац</t>
        </is>
      </c>
      <c r="C1" s="64" t="inlineStr">
        <is>
          <t>Източник(ци)</t>
        </is>
      </c>
      <c r="D1" s="64" t="inlineStr">
        <is>
          <t>Изречение</t>
        </is>
      </c>
      <c r="E1" s="64" t="inlineStr">
        <is>
          <t>Лист</t>
        </is>
      </c>
      <c r="F1" s="64" t="inlineStr">
        <is>
          <t>Ред</t>
        </is>
      </c>
      <c r="G1" s="64" t="inlineStr">
        <is>
          <t>Статус на реда</t>
        </is>
      </c>
      <c r="H1" s="64" t="inlineStr">
        <is>
          <t>Пакет (по източник)</t>
        </is>
      </c>
      <c r="I1" s="64" t="inlineStr">
        <is>
          <t>Решено на</t>
        </is>
      </c>
    </row>
    <row r="2" ht="40" customHeight="1" s="22">
      <c r="A2" s="70" t="inlineStr">
        <is>
          <t>БЕЗ РЕД</t>
        </is>
      </c>
      <c r="B2" s="65" t="n">
        <v>33</v>
      </c>
      <c r="C2" s="65" t="inlineStr">
        <is>
          <t>[11]</t>
        </is>
      </c>
      <c r="D2" s="65" t="inlineStr">
        <is>
          <t>Консенсусната дефиниция, изведена чрез международно експертно проучване, определя електронното обучение като подход към преподаването и ученето, който</t>
        </is>
      </c>
      <c r="E2" s="65" t="inlineStr">
        <is>
          <t>—</t>
        </is>
      </c>
      <c r="F2" s="65" t="inlineStr">
        <is>
          <t>—</t>
        </is>
      </c>
      <c r="G2" s="65" t="inlineStr">
        <is>
          <t>—</t>
        </is>
      </c>
      <c r="H2" s="65" t="inlineStr">
        <is>
          <t>[11]</t>
        </is>
      </c>
      <c r="I2" s="65" t="inlineStr"/>
    </row>
    <row r="3" ht="40" customHeight="1" s="22">
      <c r="A3" s="70" t="inlineStr">
        <is>
          <t>БЕЗ РЕД</t>
        </is>
      </c>
      <c r="B3" s="65" t="n">
        <v>34</v>
      </c>
      <c r="C3" s="65" t="inlineStr">
        <is>
          <t>[11]</t>
        </is>
      </c>
      <c r="D3" s="65" t="inlineStr">
        <is>
          <t xml:space="preserve">В настоящата разработка трите понятия се разграничават така: електронното обучение е подходът към преподаването и ученето, който представя прилагания </t>
        </is>
      </c>
      <c r="E3" s="65" t="inlineStr">
        <is>
          <t>—</t>
        </is>
      </c>
      <c r="F3" s="65" t="inlineStr">
        <is>
          <t>—</t>
        </is>
      </c>
      <c r="G3" s="65" t="inlineStr">
        <is>
          <t>—</t>
        </is>
      </c>
      <c r="H3" s="65" t="inlineStr">
        <is>
          <t>[11]</t>
        </is>
      </c>
      <c r="I3" s="65" t="inlineStr"/>
    </row>
    <row r="4" ht="40" customHeight="1" s="22">
      <c r="A4" s="70" t="inlineStr">
        <is>
          <t>БЕЗ РЕД</t>
        </is>
      </c>
      <c r="B4" s="65" t="n">
        <v>34</v>
      </c>
      <c r="C4" s="65" t="inlineStr">
        <is>
          <t>[37]</t>
        </is>
      </c>
      <c r="D4" s="65" t="inlineStr">
        <is>
          <t>Clark и Mayer определят електронното обучение като обучение, доставяно чрез цифрово устройство и предназначено да подпомага ученето, като изрично отде</t>
        </is>
      </c>
      <c r="E4" s="65" t="inlineStr">
        <is>
          <t>—</t>
        </is>
      </c>
      <c r="F4" s="65" t="inlineStr">
        <is>
          <t>—</t>
        </is>
      </c>
      <c r="G4" s="65" t="inlineStr">
        <is>
          <t>—</t>
        </is>
      </c>
      <c r="H4" s="65" t="inlineStr">
        <is>
          <t>[37]</t>
        </is>
      </c>
      <c r="I4" s="65" t="inlineStr"/>
    </row>
    <row r="5" ht="40" customHeight="1" s="22">
      <c r="A5" s="70" t="inlineStr">
        <is>
          <t>БЕЗ РЕД</t>
        </is>
      </c>
      <c r="B5" s="65" t="n">
        <v>37</v>
      </c>
      <c r="C5" s="65" t="inlineStr">
        <is>
          <t>[52]</t>
        </is>
      </c>
      <c r="D5" s="65" t="inlineStr">
        <is>
          <t>Стандартът за метаданни на учебни обекти отразява това, като включва контекста на употреба сред описателните характеристики на учебния обект [52].</t>
        </is>
      </c>
      <c r="E5" s="65" t="inlineStr">
        <is>
          <t>—</t>
        </is>
      </c>
      <c r="F5" s="65" t="inlineStr">
        <is>
          <t>—</t>
        </is>
      </c>
      <c r="G5" s="65" t="inlineStr">
        <is>
          <t>—</t>
        </is>
      </c>
      <c r="H5" s="65" t="inlineStr">
        <is>
          <t>[52]</t>
        </is>
      </c>
      <c r="I5" s="65" t="inlineStr"/>
    </row>
    <row r="6" ht="40" customHeight="1" s="22">
      <c r="A6" s="70" t="inlineStr">
        <is>
          <t>БЕЗ РЕД</t>
        </is>
      </c>
      <c r="B6" s="65" t="n">
        <v>40</v>
      </c>
      <c r="C6" s="65" t="inlineStr">
        <is>
          <t>[52]</t>
        </is>
      </c>
      <c r="D6" s="65" t="inlineStr">
        <is>
          <t xml:space="preserve">Схемата за метаданни на учебни обекти по стандарта IEEE 1484.12.1 определя структура от девет категории описателни характеристики от първо ниво, сред </t>
        </is>
      </c>
      <c r="E6" s="65" t="inlineStr">
        <is>
          <t>—</t>
        </is>
      </c>
      <c r="F6" s="65" t="inlineStr">
        <is>
          <t>—</t>
        </is>
      </c>
      <c r="G6" s="65" t="inlineStr">
        <is>
          <t>—</t>
        </is>
      </c>
      <c r="H6" s="65" t="inlineStr">
        <is>
          <t>[52]</t>
        </is>
      </c>
      <c r="I6" s="65" t="inlineStr"/>
    </row>
    <row r="7" ht="40" customHeight="1" s="22">
      <c r="A7" s="70" t="inlineStr">
        <is>
          <t>БЕЗ РЕД</t>
        </is>
      </c>
      <c r="B7" s="65" t="n">
        <v>42</v>
      </c>
      <c r="C7" s="65" t="inlineStr">
        <is>
          <t>[24]</t>
        </is>
      </c>
      <c r="D7" s="65" t="inlineStr">
        <is>
          <t>Емпиричното изследване на остарелите отговори в най-голямата платформа за програмистки въпроси установява, че над половината от тях (58,4 на сто) са б</t>
        </is>
      </c>
      <c r="E7" s="65" t="inlineStr">
        <is>
          <t>—</t>
        </is>
      </c>
      <c r="F7" s="65" t="inlineStr">
        <is>
          <t>—</t>
        </is>
      </c>
      <c r="G7" s="65" t="inlineStr">
        <is>
          <t>—</t>
        </is>
      </c>
      <c r="H7" s="65" t="inlineStr">
        <is>
          <t>[24]</t>
        </is>
      </c>
      <c r="I7" s="65" t="inlineStr"/>
    </row>
    <row r="8" ht="40" customHeight="1" s="22">
      <c r="A8" s="70" t="inlineStr">
        <is>
          <t>БЕЗ РЕД</t>
        </is>
      </c>
      <c r="B8" s="65" t="n">
        <v>43</v>
      </c>
      <c r="C8" s="65" t="inlineStr">
        <is>
          <t>[49]</t>
        </is>
      </c>
      <c r="D8" s="65" t="inlineStr">
        <is>
          <t>Ръководството на 1EdTech за съдържание, създадено с генеративен изкуствен интелект, степенува този признак в пет равнища - от съдържание, създадено от</t>
        </is>
      </c>
      <c r="E8" s="65" t="inlineStr">
        <is>
          <t>—</t>
        </is>
      </c>
      <c r="F8" s="65" t="inlineStr">
        <is>
          <t>—</t>
        </is>
      </c>
      <c r="G8" s="65" t="inlineStr">
        <is>
          <t>—</t>
        </is>
      </c>
      <c r="H8" s="65" t="inlineStr">
        <is>
          <t>[49]</t>
        </is>
      </c>
      <c r="I8" s="65" t="inlineStr"/>
    </row>
    <row r="9" ht="40" customHeight="1" s="22">
      <c r="A9" s="70" t="inlineStr">
        <is>
          <t>БЕЗ РЕД</t>
        </is>
      </c>
      <c r="B9" s="65" t="n">
        <v>56</v>
      </c>
      <c r="C9" s="65" t="inlineStr">
        <is>
          <t>[48]</t>
        </is>
      </c>
      <c r="D9" s="65" t="inlineStr">
        <is>
          <t xml:space="preserve">Експерименталното изследване на разгърнатата обратна връзка уточнява това: подробното обяснение подобрява възприемането на обратната връзка и преноса </t>
        </is>
      </c>
      <c r="E9" s="65" t="inlineStr">
        <is>
          <t>—</t>
        </is>
      </c>
      <c r="F9" s="65" t="inlineStr">
        <is>
          <t>—</t>
        </is>
      </c>
      <c r="G9" s="65" t="inlineStr">
        <is>
          <t>—</t>
        </is>
      </c>
      <c r="H9" s="65" t="inlineStr">
        <is>
          <t>[48]</t>
        </is>
      </c>
      <c r="I9" s="65" t="inlineStr"/>
    </row>
    <row r="10" ht="40" customHeight="1" s="22">
      <c r="A10" s="70" t="inlineStr">
        <is>
          <t>БЕЗ РЕД</t>
        </is>
      </c>
      <c r="B10" s="65" t="n">
        <v>57</v>
      </c>
      <c r="C10" s="65" t="inlineStr">
        <is>
          <t>[48]</t>
        </is>
      </c>
      <c r="D10" s="65" t="inlineStr">
        <is>
          <t>Разгърнатата обратна връзка се определя като допълнителна инструктивна информация към верния отговор - обяснения, насоки и стъпки за решаване [48].</t>
        </is>
      </c>
      <c r="E10" s="65" t="inlineStr">
        <is>
          <t>—</t>
        </is>
      </c>
      <c r="F10" s="65" t="inlineStr">
        <is>
          <t>—</t>
        </is>
      </c>
      <c r="G10" s="65" t="inlineStr">
        <is>
          <t>—</t>
        </is>
      </c>
      <c r="H10" s="65" t="inlineStr">
        <is>
          <t>[48]</t>
        </is>
      </c>
      <c r="I10" s="65" t="inlineStr"/>
    </row>
    <row r="11" ht="40" customHeight="1" s="22">
      <c r="A11" s="70" t="inlineStr">
        <is>
          <t>БЕЗ РЕД</t>
        </is>
      </c>
      <c r="B11" s="65" t="n">
        <v>62</v>
      </c>
      <c r="C11" s="65" t="inlineStr">
        <is>
          <t>[46]</t>
        </is>
      </c>
      <c r="D11" s="65" t="inlineStr">
        <is>
          <t>Изследванията върху приложението на генеративния изкуствен интелект в образованието нарастват рязко след пускането на ChatGPT през ноември 2022 г.: би</t>
        </is>
      </c>
      <c r="E11" s="65" t="inlineStr">
        <is>
          <t>—</t>
        </is>
      </c>
      <c r="F11" s="65" t="inlineStr">
        <is>
          <t>—</t>
        </is>
      </c>
      <c r="G11" s="65" t="inlineStr">
        <is>
          <t>—</t>
        </is>
      </c>
      <c r="H11" s="65" t="inlineStr">
        <is>
          <t>[46]</t>
        </is>
      </c>
      <c r="I11" s="65" t="inlineStr"/>
    </row>
    <row r="12" ht="40" customHeight="1" s="22">
      <c r="A12" s="70" t="inlineStr">
        <is>
          <t>БЕЗ РЕД</t>
        </is>
      </c>
      <c r="B12" s="65" t="n">
        <v>63</v>
      </c>
      <c r="C12" s="65" t="inlineStr">
        <is>
          <t>[44]</t>
        </is>
      </c>
      <c r="D12" s="65" t="inlineStr">
        <is>
          <t>Първата е начинът на обработка на текста: моделът не работи с думи, а с по-малки единици, наречени токени, и на всяка стъпка избира следващата единица</t>
        </is>
      </c>
      <c r="E12" s="65" t="inlineStr">
        <is>
          <t>—</t>
        </is>
      </c>
      <c r="F12" s="65" t="inlineStr">
        <is>
          <t>—</t>
        </is>
      </c>
      <c r="G12" s="65" t="inlineStr">
        <is>
          <t>—</t>
        </is>
      </c>
      <c r="H12" s="65" t="inlineStr">
        <is>
          <t>[44]</t>
        </is>
      </c>
      <c r="I12" s="65" t="inlineStr"/>
    </row>
    <row r="13" ht="40" customHeight="1" s="22">
      <c r="A13" s="70" t="inlineStr">
        <is>
          <t>БЕЗ РЕД</t>
        </is>
      </c>
      <c r="B13" s="65" t="n">
        <v>63</v>
      </c>
      <c r="C13" s="65" t="inlineStr">
        <is>
          <t>[32]</t>
        </is>
      </c>
      <c r="D13" s="65" t="inlineStr">
        <is>
          <t>Емпиричните изследвания показват, че подадената информация не се използва еднакво надеждно по цялата си дължина: представянето се влошава осезаемо, ко</t>
        </is>
      </c>
      <c r="E13" s="65" t="inlineStr">
        <is>
          <t>—</t>
        </is>
      </c>
      <c r="F13" s="65" t="inlineStr">
        <is>
          <t>—</t>
        </is>
      </c>
      <c r="G13" s="65" t="inlineStr">
        <is>
          <t>—</t>
        </is>
      </c>
      <c r="H13" s="65" t="inlineStr">
        <is>
          <t>[32]</t>
        </is>
      </c>
      <c r="I13" s="65" t="inlineStr"/>
    </row>
    <row r="14" ht="40" customHeight="1" s="22">
      <c r="A14" s="70" t="inlineStr">
        <is>
          <t>БЕЗ РЕД</t>
        </is>
      </c>
      <c r="B14" s="65" t="n">
        <v>63</v>
      </c>
      <c r="C14" s="65" t="inlineStr">
        <is>
          <t>[44]</t>
        </is>
      </c>
      <c r="D14" s="65" t="inlineStr">
        <is>
          <t>Третата е вероятностният подбор при генерирането: методите, основани на извадка, избират следващата единица от вероятностно разпределение, като запазв</t>
        </is>
      </c>
      <c r="E14" s="65" t="inlineStr">
        <is>
          <t>—</t>
        </is>
      </c>
      <c r="F14" s="65" t="inlineStr">
        <is>
          <t>—</t>
        </is>
      </c>
      <c r="G14" s="65" t="inlineStr">
        <is>
          <t>—</t>
        </is>
      </c>
      <c r="H14" s="65" t="inlineStr">
        <is>
          <t>[44]</t>
        </is>
      </c>
      <c r="I14" s="65" t="inlineStr"/>
    </row>
    <row r="15" ht="40" customHeight="1" s="22">
      <c r="A15" s="70" t="inlineStr">
        <is>
          <t>БЕЗ РЕД</t>
        </is>
      </c>
      <c r="B15" s="65" t="n">
        <v>65</v>
      </c>
      <c r="C15" s="65" t="inlineStr">
        <is>
          <t>[16]</t>
        </is>
      </c>
      <c r="D15" s="65" t="inlineStr">
        <is>
          <t>Архитектурно те стъпват на трансформера и на механизма на самовнимание, а обучението им протича на два етапа - предварително обучение върху голям корп</t>
        </is>
      </c>
      <c r="E15" s="65" t="inlineStr">
        <is>
          <t>—</t>
        </is>
      </c>
      <c r="F15" s="65" t="inlineStr">
        <is>
          <t>—</t>
        </is>
      </c>
      <c r="G15" s="65" t="inlineStr">
        <is>
          <t>—</t>
        </is>
      </c>
      <c r="H15" s="65" t="inlineStr">
        <is>
          <t>[16]</t>
        </is>
      </c>
      <c r="I15" s="65" t="inlineStr"/>
    </row>
    <row r="16" ht="40" customHeight="1" s="22">
      <c r="A16" s="70" t="inlineStr">
        <is>
          <t>БЕЗ РЕД</t>
        </is>
      </c>
      <c r="B16" s="65" t="n">
        <v>66</v>
      </c>
      <c r="C16" s="65" t="inlineStr">
        <is>
          <t>[46]</t>
        </is>
      </c>
      <c r="D16" s="65" t="inlineStr">
        <is>
          <t>Прегледът на полето обхваща приложения за оценяване, за персонализирана подкрепа на обучаемите и за интелигентни системи за обучение [46].</t>
        </is>
      </c>
      <c r="E16" s="65" t="inlineStr">
        <is>
          <t>—</t>
        </is>
      </c>
      <c r="F16" s="65" t="inlineStr">
        <is>
          <t>—</t>
        </is>
      </c>
      <c r="G16" s="65" t="inlineStr">
        <is>
          <t>—</t>
        </is>
      </c>
      <c r="H16" s="65" t="inlineStr">
        <is>
          <t>[46]</t>
        </is>
      </c>
      <c r="I16" s="65" t="inlineStr"/>
    </row>
    <row r="17" ht="40" customHeight="1" s="22">
      <c r="A17" s="70" t="inlineStr">
        <is>
          <t>БЕЗ РЕД</t>
        </is>
      </c>
      <c r="B17" s="65" t="n">
        <v>67</v>
      </c>
      <c r="C17" s="65" t="inlineStr">
        <is>
          <t>[45]</t>
        </is>
      </c>
      <c r="D17" s="65" t="inlineStr">
        <is>
          <t>Допълнителното обучение върху специализирани данни може да приближи изхода до определен предметен или стилов профил, а генерирането, обогатено с извли</t>
        </is>
      </c>
      <c r="E17" s="65" t="inlineStr">
        <is>
          <t>—</t>
        </is>
      </c>
      <c r="F17" s="65" t="inlineStr">
        <is>
          <t>—</t>
        </is>
      </c>
      <c r="G17" s="65" t="inlineStr">
        <is>
          <t>—</t>
        </is>
      </c>
      <c r="H17" s="65" t="inlineStr">
        <is>
          <t>[45]</t>
        </is>
      </c>
      <c r="I17" s="65" t="inlineStr"/>
    </row>
    <row r="18" ht="40" customHeight="1" s="22">
      <c r="A18" s="70" t="inlineStr">
        <is>
          <t>БЕЗ РЕД</t>
        </is>
      </c>
      <c r="B18" s="65" t="n">
        <v>71</v>
      </c>
      <c r="C18" s="65" t="inlineStr">
        <is>
          <t>[23]</t>
        </is>
      </c>
      <c r="D18" s="65" t="inlineStr">
        <is>
          <t>При втория човекът задава рамката и одобрява крайния резултат, без да следи междинните стъпки; мулти-агентните реализации предвиждат именно такива меж</t>
        </is>
      </c>
      <c r="E18" s="65" t="inlineStr">
        <is>
          <t>—</t>
        </is>
      </c>
      <c r="F18" s="65" t="inlineStr">
        <is>
          <t>—</t>
        </is>
      </c>
      <c r="G18" s="65" t="inlineStr">
        <is>
          <t>—</t>
        </is>
      </c>
      <c r="H18" s="65" t="inlineStr">
        <is>
          <t>[23]</t>
        </is>
      </c>
      <c r="I18" s="65" t="inlineStr"/>
    </row>
    <row r="19" ht="40" customHeight="1" s="22">
      <c r="A19" s="70" t="inlineStr">
        <is>
          <t>БЕЗ РЕД</t>
        </is>
      </c>
      <c r="B19" s="65" t="n">
        <v>76</v>
      </c>
      <c r="C19" s="65" t="inlineStr">
        <is>
          <t>[46]</t>
        </is>
      </c>
      <c r="D19" s="65" t="inlineStr">
        <is>
          <t>Прегледът на полето обхваща приложения в целия учебен процес, без да предлага такава степенувана класификация [46].</t>
        </is>
      </c>
      <c r="E19" s="65" t="inlineStr">
        <is>
          <t>—</t>
        </is>
      </c>
      <c r="F19" s="65" t="inlineStr">
        <is>
          <t>—</t>
        </is>
      </c>
      <c r="G19" s="65" t="inlineStr">
        <is>
          <t>—</t>
        </is>
      </c>
      <c r="H19" s="65" t="inlineStr">
        <is>
          <t>[46]</t>
        </is>
      </c>
      <c r="I19" s="65" t="inlineStr"/>
    </row>
    <row r="20" ht="40" customHeight="1" s="22">
      <c r="A20" s="70" t="inlineStr">
        <is>
          <t>БЕЗ РЕД</t>
        </is>
      </c>
      <c r="B20" s="65" t="n">
        <v>81</v>
      </c>
      <c r="C20" s="65" t="inlineStr">
        <is>
          <t>[8]</t>
        </is>
      </c>
      <c r="D20" s="65" t="inlineStr">
        <is>
          <t>Този резултат е показателен в две посоки: потвърждава практическата приложимост на инструментите и едновременно с това илюстрира централния проблем на</t>
        </is>
      </c>
      <c r="E20" s="65" t="inlineStr">
        <is>
          <t>—</t>
        </is>
      </c>
      <c r="F20" s="65" t="inlineStr">
        <is>
          <t>—</t>
        </is>
      </c>
      <c r="G20" s="65" t="inlineStr">
        <is>
          <t>—</t>
        </is>
      </c>
      <c r="H20" s="65" t="inlineStr">
        <is>
          <t>[8]</t>
        </is>
      </c>
      <c r="I20" s="65" t="inlineStr"/>
    </row>
    <row r="21" ht="40" customHeight="1" s="22">
      <c r="A21" s="70" t="inlineStr">
        <is>
          <t>БЕЗ РЕД</t>
        </is>
      </c>
      <c r="B21" s="65" t="n">
        <v>82</v>
      </c>
      <c r="C21" s="65" t="inlineStr">
        <is>
          <t>[2]</t>
        </is>
      </c>
      <c r="D21" s="65" t="inlineStr">
        <is>
          <t>По-внимателният прочит обаче показва обратното: този дял е постигнат именно защото проверката е вградена като задължителна стъпка, а не защото инструм</t>
        </is>
      </c>
      <c r="E21" s="65" t="inlineStr">
        <is>
          <t>—</t>
        </is>
      </c>
      <c r="F21" s="65" t="inlineStr">
        <is>
          <t>—</t>
        </is>
      </c>
      <c r="G21" s="65" t="inlineStr">
        <is>
          <t>—</t>
        </is>
      </c>
      <c r="H21" s="65" t="inlineStr">
        <is>
          <t>[2]</t>
        </is>
      </c>
      <c r="I21" s="65" t="inlineStr"/>
    </row>
    <row r="22" ht="40" customHeight="1" s="22">
      <c r="A22" s="70" t="inlineStr">
        <is>
          <t>БЕЗ РЕД</t>
        </is>
      </c>
      <c r="B22" s="65" t="n">
        <v>86</v>
      </c>
      <c r="C22" s="65" t="inlineStr">
        <is>
          <t>[15]</t>
        </is>
      </c>
      <c r="D22" s="65" t="inlineStr">
        <is>
          <t>При рамковите подходи процесът е документиран като последователност от стъпки [15].</t>
        </is>
      </c>
      <c r="E22" s="65" t="inlineStr">
        <is>
          <t>—</t>
        </is>
      </c>
      <c r="F22" s="65" t="inlineStr">
        <is>
          <t>—</t>
        </is>
      </c>
      <c r="G22" s="65" t="inlineStr">
        <is>
          <t>—</t>
        </is>
      </c>
      <c r="H22" s="65" t="inlineStr">
        <is>
          <t>[15]</t>
        </is>
      </c>
      <c r="I22" s="65" t="inlineStr"/>
    </row>
    <row r="23" ht="40" customHeight="1" s="22">
      <c r="A23" s="70" t="inlineStr">
        <is>
          <t>БЕЗ РЕД</t>
        </is>
      </c>
      <c r="B23" s="65" t="n">
        <v>90</v>
      </c>
      <c r="C23" s="65" t="inlineStr">
        <is>
          <t>[21]</t>
        </is>
      </c>
      <c r="D23" s="65" t="inlineStr">
        <is>
          <t>Генеративните инструменти намаляват натоварването на преподавателя при подготовката на учебни материали и разнообразяват учебните дейности и задачи, к</t>
        </is>
      </c>
      <c r="E23" s="65" t="inlineStr">
        <is>
          <t>—</t>
        </is>
      </c>
      <c r="F23" s="65" t="inlineStr">
        <is>
          <t>—</t>
        </is>
      </c>
      <c r="G23" s="65" t="inlineStr">
        <is>
          <t>—</t>
        </is>
      </c>
      <c r="H23" s="65" t="inlineStr">
        <is>
          <t>[21]</t>
        </is>
      </c>
      <c r="I23" s="65" t="inlineStr"/>
    </row>
    <row r="24" ht="40" customHeight="1" s="22">
      <c r="A24" s="70" t="inlineStr">
        <is>
          <t>БЕЗ РЕД</t>
        </is>
      </c>
      <c r="B24" s="65" t="n">
        <v>90</v>
      </c>
      <c r="C24" s="65" t="inlineStr">
        <is>
          <t>[46]</t>
        </is>
      </c>
      <c r="D24" s="65" t="inlineStr">
        <is>
          <t>Към това прегледът на полето добавя персонализираната подкрепа на обучаемите и интелигентните системи за обучение [46].</t>
        </is>
      </c>
      <c r="E24" s="65" t="inlineStr">
        <is>
          <t>—</t>
        </is>
      </c>
      <c r="F24" s="65" t="inlineStr">
        <is>
          <t>—</t>
        </is>
      </c>
      <c r="G24" s="65" t="inlineStr">
        <is>
          <t>—</t>
        </is>
      </c>
      <c r="H24" s="65" t="inlineStr">
        <is>
          <t>[46]</t>
        </is>
      </c>
      <c r="I24" s="65" t="inlineStr"/>
    </row>
    <row r="25" ht="40" customHeight="1" s="22">
      <c r="A25" s="70" t="inlineStr">
        <is>
          <t>БЕЗ РЕД</t>
        </is>
      </c>
      <c r="B25" s="65" t="n">
        <v>92</v>
      </c>
      <c r="C25" s="65" t="inlineStr">
        <is>
          <t>[16]</t>
        </is>
      </c>
      <c r="D25" s="65" t="inlineStr">
        <is>
          <t>Литературата отбелязва, че става все по-трудно да се различи машинно от човешко авторство [16]; при неотчетено използване това размива границата между</t>
        </is>
      </c>
      <c r="E25" s="65" t="inlineStr">
        <is>
          <t>—</t>
        </is>
      </c>
      <c r="F25" s="65" t="inlineStr">
        <is>
          <t>—</t>
        </is>
      </c>
      <c r="G25" s="65" t="inlineStr">
        <is>
          <t>—</t>
        </is>
      </c>
      <c r="H25" s="65" t="inlineStr">
        <is>
          <t>[16]</t>
        </is>
      </c>
      <c r="I25" s="65" t="inlineStr"/>
    </row>
    <row r="26" ht="40" customHeight="1" s="22">
      <c r="A26" s="70" t="inlineStr">
        <is>
          <t>БЕЗ РЕД</t>
        </is>
      </c>
      <c r="B26" s="65" t="n">
        <v>92</v>
      </c>
      <c r="C26" s="65" t="inlineStr">
        <is>
          <t>[21]</t>
        </is>
      </c>
      <c r="D26" s="65" t="inlineStr">
        <is>
          <t>Следва рискът от прекомерна зависимост: авторите на цитирания анализ поставят въпроса дали прехвърлянето на подготовката върху инструмента не лишава п</t>
        </is>
      </c>
      <c r="E26" s="65" t="inlineStr">
        <is>
          <t>—</t>
        </is>
      </c>
      <c r="F26" s="65" t="inlineStr">
        <is>
          <t>—</t>
        </is>
      </c>
      <c r="G26" s="65" t="inlineStr">
        <is>
          <t>—</t>
        </is>
      </c>
      <c r="H26" s="65" t="inlineStr">
        <is>
          <t>[21]</t>
        </is>
      </c>
      <c r="I26" s="65" t="inlineStr"/>
    </row>
    <row r="27" ht="40" customHeight="1" s="22">
      <c r="A27" s="70" t="inlineStr">
        <is>
          <t>БЕЗ РЕД</t>
        </is>
      </c>
      <c r="B27" s="65" t="n">
        <v>92</v>
      </c>
      <c r="C27" s="65" t="inlineStr">
        <is>
          <t>[16]</t>
        </is>
      </c>
      <c r="D27" s="65" t="inlineStr">
        <is>
          <t>Към него се добавят рисковете за личните данни при работа с комерсиални платформи, за които литературата извежда изискване политиките за събиране, съх</t>
        </is>
      </c>
      <c r="E27" s="65" t="inlineStr">
        <is>
          <t>—</t>
        </is>
      </c>
      <c r="F27" s="65" t="inlineStr">
        <is>
          <t>—</t>
        </is>
      </c>
      <c r="G27" s="65" t="inlineStr">
        <is>
          <t>—</t>
        </is>
      </c>
      <c r="H27" s="65" t="inlineStr">
        <is>
          <t>[16]</t>
        </is>
      </c>
      <c r="I27" s="65" t="inlineStr"/>
    </row>
    <row r="28" ht="40" customHeight="1" s="22">
      <c r="A28" s="70" t="inlineStr">
        <is>
          <t>БЕЗ РЕД</t>
        </is>
      </c>
      <c r="B28" s="65" t="n">
        <v>97</v>
      </c>
      <c r="C28" s="65" t="inlineStr">
        <is>
          <t>[16]</t>
        </is>
      </c>
      <c r="D28" s="65" t="inlineStr">
        <is>
          <t>Цитираният източник извежда изискване за прозрачност, която позволява на потребителя да разбере изхода на модела и данните зад него, и за преглед и ва</t>
        </is>
      </c>
      <c r="E28" s="65" t="inlineStr">
        <is>
          <t>—</t>
        </is>
      </c>
      <c r="F28" s="65" t="inlineStr">
        <is>
          <t>—</t>
        </is>
      </c>
      <c r="G28" s="65" t="inlineStr">
        <is>
          <t>—</t>
        </is>
      </c>
      <c r="H28" s="65" t="inlineStr">
        <is>
          <t>[16]</t>
        </is>
      </c>
      <c r="I28" s="65" t="inlineStr"/>
    </row>
    <row r="29" ht="40" customHeight="1" s="22">
      <c r="A29" s="70" t="inlineStr">
        <is>
          <t>БЕЗ РЕД</t>
        </is>
      </c>
      <c r="B29" s="65" t="n">
        <v>99</v>
      </c>
      <c r="C29" s="65" t="inlineStr">
        <is>
          <t>[22]</t>
        </is>
      </c>
      <c r="D29" s="65" t="inlineStr">
        <is>
          <t>Изследванията върху взаимодействието с генеративни инструменти документират именно такъв риск: прекомерно доверие, повърхностно подражание и прекомерн</t>
        </is>
      </c>
      <c r="E29" s="65" t="inlineStr">
        <is>
          <t>—</t>
        </is>
      </c>
      <c r="F29" s="65" t="inlineStr">
        <is>
          <t>—</t>
        </is>
      </c>
      <c r="G29" s="65" t="inlineStr">
        <is>
          <t>—</t>
        </is>
      </c>
      <c r="H29" s="65" t="inlineStr">
        <is>
          <t>[22]</t>
        </is>
      </c>
      <c r="I29" s="65" t="inlineStr"/>
    </row>
    <row r="30" ht="40" customHeight="1" s="22">
      <c r="A30" s="70" t="inlineStr">
        <is>
          <t>БЕЗ РЕД</t>
        </is>
      </c>
      <c r="B30" s="65" t="n">
        <v>112</v>
      </c>
      <c r="C30" s="65" t="inlineStr">
        <is>
          <t>[16]</t>
        </is>
      </c>
      <c r="D30" s="65" t="inlineStr">
        <is>
          <t>Литературата посочва, че генерираният отговор може да възпроизведе цяло изречение или дори абзац от обучителния корпус, което поражда въпроси за автор</t>
        </is>
      </c>
      <c r="E30" s="65" t="inlineStr">
        <is>
          <t>—</t>
        </is>
      </c>
      <c r="F30" s="65" t="inlineStr">
        <is>
          <t>—</t>
        </is>
      </c>
      <c r="G30" s="65" t="inlineStr">
        <is>
          <t>—</t>
        </is>
      </c>
      <c r="H30" s="65" t="inlineStr">
        <is>
          <t>[16]</t>
        </is>
      </c>
      <c r="I30" s="65" t="inlineStr"/>
    </row>
    <row r="31" ht="40" customHeight="1" s="22">
      <c r="A31" s="70" t="inlineStr">
        <is>
          <t>БЕЗ РЕД</t>
        </is>
      </c>
      <c r="B31" s="65" t="n">
        <v>125</v>
      </c>
      <c r="C31" s="65" t="inlineStr">
        <is>
          <t>[13, 14]</t>
        </is>
      </c>
      <c r="D31" s="65" t="inlineStr">
        <is>
          <t>Днес обаче три обстоятелства налагат човешкото оценяване като основен режим: липсата на валидирани данни за надеждност при български учебни текстове [</t>
        </is>
      </c>
      <c r="E31" s="65" t="inlineStr">
        <is>
          <t>—</t>
        </is>
      </c>
      <c r="F31" s="65" t="inlineStr">
        <is>
          <t>—</t>
        </is>
      </c>
      <c r="G31" s="65" t="inlineStr">
        <is>
          <t>—</t>
        </is>
      </c>
      <c r="H31" s="65" t="inlineStr">
        <is>
          <t>[13, 14]</t>
        </is>
      </c>
      <c r="I31" s="65" t="inlineStr"/>
    </row>
    <row r="32" ht="40" customHeight="1" s="22">
      <c r="A32" s="70" t="inlineStr">
        <is>
          <t>БЕЗ РЕД</t>
        </is>
      </c>
      <c r="B32" s="65" t="n">
        <v>128</v>
      </c>
      <c r="C32" s="65" t="inlineStr">
        <is>
          <t>[53]</t>
        </is>
      </c>
      <c r="D32" s="65" t="inlineStr">
        <is>
          <t>В прегледаните критериални инструменти не се среща отделен показател за фактическа достоверност [53], което е обяснимо при добросъвестен човешки автор</t>
        </is>
      </c>
      <c r="E32" s="65" t="inlineStr">
        <is>
          <t>—</t>
        </is>
      </c>
      <c r="F32" s="65" t="inlineStr">
        <is>
          <t>—</t>
        </is>
      </c>
      <c r="G32" s="65" t="inlineStr">
        <is>
          <t>—</t>
        </is>
      </c>
      <c r="H32" s="65" t="inlineStr">
        <is>
          <t>[53]</t>
        </is>
      </c>
      <c r="I32" s="65" t="inlineStr"/>
    </row>
    <row r="33" ht="40" customHeight="1" s="22">
      <c r="A33" s="70" t="inlineStr">
        <is>
          <t>БЕЗ РЕД</t>
        </is>
      </c>
      <c r="B33" s="65" t="n">
        <v>138</v>
      </c>
      <c r="C33" s="65" t="inlineStr">
        <is>
          <t>[29, 38, 53]</t>
        </is>
      </c>
      <c r="D33" s="65" t="inlineStr">
        <is>
          <t xml:space="preserve">Критериалната форма - йерархия от области, критерии и проверими показатели - е приложена в утвърдени инструменти за оценяване на онлайн курсове [53]; </t>
        </is>
      </c>
      <c r="E33" s="65" t="inlineStr">
        <is>
          <t>—</t>
        </is>
      </c>
      <c r="F33" s="65" t="inlineStr">
        <is>
          <t>—</t>
        </is>
      </c>
      <c r="G33" s="65" t="inlineStr">
        <is>
          <t>—</t>
        </is>
      </c>
      <c r="H33" s="65" t="inlineStr">
        <is>
          <t>[29, 38, 53]</t>
        </is>
      </c>
      <c r="I33" s="65" t="inlineStr"/>
    </row>
    <row r="34" ht="40" customHeight="1" s="22">
      <c r="A34" s="70" t="inlineStr">
        <is>
          <t>БЕЗ РЕД</t>
        </is>
      </c>
      <c r="B34" s="65" t="n">
        <v>154</v>
      </c>
      <c r="C34" s="65" t="inlineStr">
        <is>
          <t>[45]</t>
        </is>
      </c>
      <c r="D34" s="65" t="inlineStr">
        <is>
          <t xml:space="preserve">Актуалността произтича от начина на обучение на езиковите модели: систематизациите на подхода за обогатено с извличане генериране посочват остарялото </t>
        </is>
      </c>
      <c r="E34" s="65" t="inlineStr">
        <is>
          <t>—</t>
        </is>
      </c>
      <c r="F34" s="65" t="inlineStr">
        <is>
          <t>—</t>
        </is>
      </c>
      <c r="G34" s="65" t="inlineStr">
        <is>
          <t>—</t>
        </is>
      </c>
      <c r="H34" s="65" t="inlineStr">
        <is>
          <t>[45]</t>
        </is>
      </c>
      <c r="I34" s="65" t="inlineStr"/>
    </row>
    <row r="35" ht="40" customHeight="1" s="22">
      <c r="A35" s="70" t="inlineStr">
        <is>
          <t>БЕЗ РЕД</t>
        </is>
      </c>
      <c r="B35" s="65" t="n">
        <v>221</v>
      </c>
      <c r="C35" s="65" t="inlineStr">
        <is>
          <t>[10, 16]</t>
        </is>
      </c>
      <c r="D35" s="65" t="inlineStr">
        <is>
          <t>Положението е свързано с документираната неравномерност на езиковото покритие в изследванията и в обучителните данни [16], [10].</t>
        </is>
      </c>
      <c r="E35" s="65" t="inlineStr">
        <is>
          <t>—</t>
        </is>
      </c>
      <c r="F35" s="65" t="inlineStr">
        <is>
          <t>—</t>
        </is>
      </c>
      <c r="G35" s="65" t="inlineStr">
        <is>
          <t>—</t>
        </is>
      </c>
      <c r="H35" s="65" t="inlineStr">
        <is>
          <t>[10, 16]</t>
        </is>
      </c>
      <c r="I35" s="65" t="inlineStr"/>
    </row>
    <row r="36" ht="40" customHeight="1" s="22">
      <c r="A36" s="77" t="inlineStr">
        <is>
          <t>ИЗВАДКА ПОД 2 ИЗРЕЧЕНИЯ</t>
        </is>
      </c>
      <c r="B36" s="65" t="n">
        <v>35</v>
      </c>
      <c r="C36" s="65" t="inlineStr">
        <is>
          <t>[12]</t>
        </is>
      </c>
      <c r="D36" s="65" t="inlineStr">
        <is>
          <t>Значимостта на работата с дигитални ресурси за съвременния преподавател е призната и на рамково равнище: в евр</t>
        </is>
      </c>
      <c r="E36" s="65" t="inlineStr">
        <is>
          <t>Ниво 2 Твърдения</t>
        </is>
      </c>
      <c r="F36" s="65" t="n">
        <v>3</v>
      </c>
      <c r="G36" s="65" t="inlineStr">
        <is>
          <t>—</t>
        </is>
      </c>
      <c r="H36" s="65" t="inlineStr">
        <is>
          <t>[12]</t>
        </is>
      </c>
      <c r="I36" s="65" t="inlineStr"/>
    </row>
    <row r="37" ht="40" customHeight="1" s="22">
      <c r="A37" s="77" t="inlineStr">
        <is>
          <t>ИЗВАДКА ПОД 2 ИЗРЕЧЕНИЯ</t>
        </is>
      </c>
      <c r="B37" s="65" t="n">
        <v>44</v>
      </c>
      <c r="C37" s="65" t="inlineStr">
        <is>
          <t>[49]</t>
        </is>
      </c>
      <c r="D37" s="65" t="inlineStr">
        <is>
          <t>При най-високото равнище от същата скала обаче съдържанието се създава и публикува с минимален или никакъв чов</t>
        </is>
      </c>
      <c r="E37" s="65" t="inlineStr">
        <is>
          <t>Ниво 2 Твърдения</t>
        </is>
      </c>
      <c r="F37" s="65" t="n">
        <v>68</v>
      </c>
      <c r="G37" s="65" t="inlineStr">
        <is>
          <t>—</t>
        </is>
      </c>
      <c r="H37" s="65" t="inlineStr">
        <is>
          <t>[49]</t>
        </is>
      </c>
      <c r="I37" s="65" t="inlineStr"/>
    </row>
    <row r="38" ht="40" customHeight="1" s="22">
      <c r="A38" s="77" t="inlineStr">
        <is>
          <t>ИЗВАДКА ПОД 2 ИЗРЕЧЕНИЯ</t>
        </is>
      </c>
      <c r="B38" s="65" t="n">
        <v>55</v>
      </c>
      <c r="C38" s="65" t="inlineStr">
        <is>
          <t>[12]</t>
        </is>
      </c>
      <c r="D38" s="65" t="inlineStr">
        <is>
          <t>В европейската рамка DigCompEdu изборът и създаването на дигитални ресурси изрично се обвързват с отчитането н</t>
        </is>
      </c>
      <c r="E38" s="65" t="inlineStr">
        <is>
          <t>Ниво 2 Твърдения</t>
        </is>
      </c>
      <c r="F38" s="65" t="n">
        <v>14</v>
      </c>
      <c r="G38" s="65" t="inlineStr">
        <is>
          <t>—</t>
        </is>
      </c>
      <c r="H38" s="65" t="inlineStr">
        <is>
          <t>[12]</t>
        </is>
      </c>
      <c r="I38" s="65" t="inlineStr"/>
    </row>
    <row r="39" ht="40" customHeight="1" s="22">
      <c r="A39" s="77" t="inlineStr">
        <is>
          <t>ИЗВАДКА ПОД 2 ИЗРЕЧЕНИЯ</t>
        </is>
      </c>
      <c r="B39" s="65" t="n">
        <v>67</v>
      </c>
      <c r="C39" s="65" t="inlineStr">
        <is>
          <t>[27]</t>
        </is>
      </c>
      <c r="D39" s="65" t="inlineStr">
        <is>
          <t>Систематизациите на халюцинациите достигат до същия извод - надеждното им отстраняване на равнище модел остава</t>
        </is>
      </c>
      <c r="E39" s="65" t="inlineStr">
        <is>
          <t>Ниво 2 Твърдения</t>
        </is>
      </c>
      <c r="F39" s="65" t="n">
        <v>21</v>
      </c>
      <c r="G39" s="65" t="inlineStr">
        <is>
          <t>—</t>
        </is>
      </c>
      <c r="H39" s="65" t="inlineStr">
        <is>
          <t>[27]</t>
        </is>
      </c>
      <c r="I39" s="65" t="inlineStr"/>
    </row>
    <row r="40" ht="40" customHeight="1" s="22">
      <c r="A40" s="77" t="inlineStr">
        <is>
          <t>ИЗВАДКА ПОД 2 ИЗРЕЧЕНИЯ</t>
        </is>
      </c>
      <c r="B40" s="65" t="n">
        <v>77</v>
      </c>
      <c r="C40" s="65" t="inlineStr">
        <is>
          <t>[16]</t>
        </is>
      </c>
      <c r="D40" s="65" t="inlineStr">
        <is>
          <t>Първото и най-разпространено равнище е подпомогнатото създаване: преподавателят взаимодейства с инструмента чр</t>
        </is>
      </c>
      <c r="E40" s="65" t="inlineStr">
        <is>
          <t>Ниво 2 Твърдения</t>
        </is>
      </c>
      <c r="F40" s="65" t="n">
        <v>25</v>
      </c>
      <c r="G40" s="65" t="inlineStr">
        <is>
          <t>—</t>
        </is>
      </c>
      <c r="H40" s="65" t="inlineStr">
        <is>
          <t>[16]</t>
        </is>
      </c>
      <c r="I40" s="65" t="inlineStr"/>
    </row>
    <row r="41" ht="40" customHeight="1" s="22">
      <c r="A41" s="77" t="inlineStr">
        <is>
          <t>ИЗВАДКА ПОД 2 ИЗРЕЧЕНИЯ</t>
        </is>
      </c>
      <c r="B41" s="65" t="n">
        <v>78</v>
      </c>
      <c r="C41" s="65" t="inlineStr">
        <is>
          <t>[15]</t>
        </is>
      </c>
      <c r="D41" s="65" t="inlineStr">
        <is>
          <t>Рамката GAIDE предлага систематизиран процес за използване на генеративни инструменти при разработване на курс</t>
        </is>
      </c>
      <c r="E41" s="65" t="inlineStr">
        <is>
          <t>Ниво 2 Твърдения</t>
        </is>
      </c>
      <c r="F41" s="65" t="n">
        <v>26</v>
      </c>
      <c r="G41" s="65" t="inlineStr">
        <is>
          <t>—</t>
        </is>
      </c>
      <c r="H41" s="65" t="inlineStr">
        <is>
          <t>[15]</t>
        </is>
      </c>
      <c r="I41" s="65" t="inlineStr"/>
    </row>
    <row r="42" ht="40" customHeight="1" s="22">
      <c r="A42" s="77" t="inlineStr">
        <is>
          <t>ИЗВАДКА ПОД 2 ИЗРЕЧЕНИЯ</t>
        </is>
      </c>
      <c r="B42" s="65" t="n">
        <v>78</v>
      </c>
      <c r="C42" s="65" t="inlineStr">
        <is>
          <t>[14]</t>
        </is>
      </c>
      <c r="D42" s="65" t="inlineStr">
        <is>
          <t>По-широк поглед дава интегративният преглед на Chai и колектив върху 71 публикации, който картографира приложе</t>
        </is>
      </c>
      <c r="E42" s="65" t="inlineStr">
        <is>
          <t>Ниво 2 Твърдения</t>
        </is>
      </c>
      <c r="F42" s="65" t="n">
        <v>27</v>
      </c>
      <c r="G42" s="65" t="inlineStr">
        <is>
          <t>—</t>
        </is>
      </c>
      <c r="H42" s="65" t="inlineStr">
        <is>
          <t>[14]</t>
        </is>
      </c>
      <c r="I42" s="65" t="inlineStr"/>
    </row>
    <row r="43" ht="40" customHeight="1" s="22">
      <c r="A43" s="77" t="inlineStr">
        <is>
          <t>ИЗВАДКА ПОД 2 ИЗРЕЧЕНИЯ</t>
        </is>
      </c>
      <c r="B43" s="65" t="n">
        <v>79</v>
      </c>
      <c r="C43" s="65" t="inlineStr">
        <is>
          <t>[3]</t>
        </is>
      </c>
      <c r="D43" s="65" t="inlineStr">
        <is>
          <t>Показателен пример от българската практика е концептуалният дизайн на платформа за обучение по дентална анатом</t>
        </is>
      </c>
      <c r="E43" s="65" t="inlineStr">
        <is>
          <t>Ниво 2 Твърдения</t>
        </is>
      </c>
      <c r="F43" s="65" t="n">
        <v>28</v>
      </c>
      <c r="G43" s="65" t="inlineStr">
        <is>
          <t>—</t>
        </is>
      </c>
      <c r="H43" s="65" t="inlineStr">
        <is>
          <t>[3]</t>
        </is>
      </c>
      <c r="I43" s="65" t="inlineStr"/>
    </row>
    <row r="44" ht="40" customHeight="1" s="22">
      <c r="A44" s="77" t="inlineStr">
        <is>
          <t>ИЗВАДКА ПОД 2 ИЗРЕЧЕНИЯ</t>
        </is>
      </c>
      <c r="B44" s="65" t="n">
        <v>81</v>
      </c>
      <c r="C44" s="65" t="inlineStr">
        <is>
          <t>[8]</t>
        </is>
      </c>
      <c r="D44" s="65" t="inlineStr">
        <is>
          <t>Прегледът на около 130 източника за приложението на изкуствения интелект в обучението по програмиране обобщава</t>
        </is>
      </c>
      <c r="E44" s="65" t="inlineStr">
        <is>
          <t>Ниво 2 Твърдения</t>
        </is>
      </c>
      <c r="F44" s="65" t="n">
        <v>31</v>
      </c>
      <c r="G44" s="65" t="inlineStr">
        <is>
          <t>—</t>
        </is>
      </c>
      <c r="H44" s="65" t="inlineStr">
        <is>
          <t>[8]</t>
        </is>
      </c>
      <c r="I44" s="65" t="inlineStr"/>
    </row>
    <row r="45" ht="40" customHeight="1" s="22">
      <c r="A45" s="77" t="inlineStr">
        <is>
          <t>ИЗВАДКА ПОД 2 ИЗРЕЧЕНИЯ</t>
        </is>
      </c>
      <c r="B45" s="65" t="n">
        <v>81</v>
      </c>
      <c r="C45" s="65" t="inlineStr">
        <is>
          <t>[6]</t>
        </is>
      </c>
      <c r="D45" s="65" t="inlineStr">
        <is>
          <t>Публикувано описание на инструментален работен процес в българско висше училище посочва значително съкращаване</t>
        </is>
      </c>
      <c r="E45" s="65" t="inlineStr">
        <is>
          <t>Ниво 2 Твърдения</t>
        </is>
      </c>
      <c r="F45" s="65" t="n">
        <v>32</v>
      </c>
      <c r="G45" s="65" t="inlineStr">
        <is>
          <t>—</t>
        </is>
      </c>
      <c r="H45" s="65" t="inlineStr">
        <is>
          <t>[6]</t>
        </is>
      </c>
      <c r="I45" s="65" t="inlineStr"/>
    </row>
    <row r="46" ht="40" customHeight="1" s="22">
      <c r="A46" s="77" t="inlineStr">
        <is>
          <t>ИЗВАДКА ПОД 2 ИЗРЕЧЕНИЯ</t>
        </is>
      </c>
      <c r="B46" s="65" t="n">
        <v>82</v>
      </c>
      <c r="C46" s="65" t="inlineStr">
        <is>
          <t>[2]</t>
        </is>
      </c>
      <c r="D46" s="65" t="inlineStr">
        <is>
          <t>Разработена в морско висше училище система обработва над 656 000 знака учебен текст на български и английски е</t>
        </is>
      </c>
      <c r="E46" s="65" t="inlineStr">
        <is>
          <t>Ниво 2 Твърдения</t>
        </is>
      </c>
      <c r="F46" s="65" t="n">
        <v>33</v>
      </c>
      <c r="G46" s="65" t="inlineStr">
        <is>
          <t>—</t>
        </is>
      </c>
      <c r="H46" s="65" t="inlineStr">
        <is>
          <t>[2]</t>
        </is>
      </c>
      <c r="I46" s="65" t="inlineStr"/>
    </row>
    <row r="47" ht="40" customHeight="1" s="22">
      <c r="A47" s="77" t="inlineStr">
        <is>
          <t>ИЗВАДКА ПОД 2 ИЗРЕЧЕНИЯ</t>
        </is>
      </c>
      <c r="B47" s="65" t="n">
        <v>83</v>
      </c>
      <c r="C47" s="65" t="inlineStr">
        <is>
          <t>[6]</t>
        </is>
      </c>
      <c r="D47" s="65" t="inlineStr">
        <is>
          <t>Практическо ръководство за преподаватели извежда набор от правила - определяне на роля, предоставяне на контек</t>
        </is>
      </c>
      <c r="E47" s="65" t="inlineStr">
        <is>
          <t>Ниво 2 Твърдения</t>
        </is>
      </c>
      <c r="F47" s="65" t="n">
        <v>34</v>
      </c>
      <c r="G47" s="65" t="inlineStr">
        <is>
          <t>—</t>
        </is>
      </c>
      <c r="H47" s="65" t="inlineStr">
        <is>
          <t>[6]</t>
        </is>
      </c>
      <c r="I47" s="65" t="inlineStr"/>
    </row>
    <row r="48" ht="40" customHeight="1" s="22">
      <c r="A48" s="77" t="inlineStr">
        <is>
          <t>ИЗВАДКА ПОД 2 ИЗРЕЧЕНИЯ</t>
        </is>
      </c>
      <c r="B48" s="65" t="n">
        <v>88</v>
      </c>
      <c r="C48" s="65" t="inlineStr">
        <is>
          <t>[21]</t>
        </is>
      </c>
      <c r="D48" s="65" t="inlineStr">
        <is>
          <t xml:space="preserve">Полезна систематизираща рамка предлага анализът на силните и слабите страни, възможностите и заплахите (SWOT) </t>
        </is>
      </c>
      <c r="E48" s="65" t="inlineStr">
        <is>
          <t>Ниво 2 Твърдения</t>
        </is>
      </c>
      <c r="F48" s="65" t="n">
        <v>35</v>
      </c>
      <c r="G48" s="65" t="inlineStr">
        <is>
          <t>—</t>
        </is>
      </c>
      <c r="H48" s="65" t="inlineStr">
        <is>
          <t>[21]</t>
        </is>
      </c>
      <c r="I48" s="65" t="inlineStr"/>
    </row>
    <row r="49" ht="40" customHeight="1" s="22">
      <c r="A49" s="77" t="inlineStr">
        <is>
          <t>ИЗВАДКА ПОД 2 ИЗРЕЧЕНИЯ</t>
        </is>
      </c>
      <c r="B49" s="65" t="n">
        <v>89</v>
      </c>
      <c r="C49" s="65" t="inlineStr">
        <is>
          <t>[33]</t>
        </is>
      </c>
      <c r="D49" s="65" t="inlineStr">
        <is>
          <t>Систематичният преглед на изследванията за периода 2007-2018 г. документира богата предистория - профилиране и</t>
        </is>
      </c>
      <c r="E49" s="65" t="inlineStr">
        <is>
          <t>Ниво 2 Твърдения</t>
        </is>
      </c>
      <c r="F49" s="65" t="n">
        <v>36</v>
      </c>
      <c r="G49" s="65" t="inlineStr">
        <is>
          <t>—</t>
        </is>
      </c>
      <c r="H49" s="65" t="inlineStr">
        <is>
          <t>[33]</t>
        </is>
      </c>
      <c r="I49" s="65" t="inlineStr"/>
    </row>
    <row r="50" ht="40" customHeight="1" s="22">
      <c r="A50" s="77" t="inlineStr">
        <is>
          <t>ИЗВАДКА ПОД 2 ИЗРЕЧЕНИЯ</t>
        </is>
      </c>
      <c r="B50" s="65" t="n">
        <v>93</v>
      </c>
      <c r="C50" s="65" t="inlineStr">
        <is>
          <t>[5]</t>
        </is>
      </c>
      <c r="D50" s="65" t="inlineStr">
        <is>
          <t>Проучване сред 68 педагогически специалисти от всички образователни степени установява положително отношение к</t>
        </is>
      </c>
      <c r="E50" s="65" t="inlineStr">
        <is>
          <t>Ниво 2 Твърдения</t>
        </is>
      </c>
      <c r="F50" s="65" t="n">
        <v>42</v>
      </c>
      <c r="G50" s="65" t="inlineStr">
        <is>
          <t>—</t>
        </is>
      </c>
      <c r="H50" s="65" t="inlineStr">
        <is>
          <t>[5]</t>
        </is>
      </c>
      <c r="I50" s="65" t="inlineStr"/>
    </row>
    <row r="51" ht="40" customHeight="1" s="22">
      <c r="A51" s="77" t="inlineStr">
        <is>
          <t>ИЗВАДКА ПОД 2 ИЗРЕЧЕНИЯ</t>
        </is>
      </c>
      <c r="B51" s="65" t="n">
        <v>94</v>
      </c>
      <c r="C51" s="65" t="inlineStr">
        <is>
          <t>[4]</t>
        </is>
      </c>
      <c r="D51" s="65" t="inlineStr">
        <is>
          <t>Към рисковете за обучаемите българските публикации препращат и към данни за опасността от повърхностно усвоява</t>
        </is>
      </c>
      <c r="E51" s="65" t="inlineStr">
        <is>
          <t>Ниво 2 Твърдения</t>
        </is>
      </c>
      <c r="F51" s="65" t="n">
        <v>43</v>
      </c>
      <c r="G51" s="65" t="inlineStr">
        <is>
          <t>—</t>
        </is>
      </c>
      <c r="H51" s="65" t="inlineStr">
        <is>
          <t>[4]</t>
        </is>
      </c>
      <c r="I51" s="65" t="inlineStr"/>
    </row>
    <row r="52" ht="40" customHeight="1" s="22">
      <c r="A52" s="77" t="inlineStr">
        <is>
          <t>ИЗВАДКА ПОД 2 ИЗРЕЧЕНИЯ</t>
        </is>
      </c>
      <c r="B52" s="65" t="n">
        <v>95</v>
      </c>
      <c r="C52" s="65" t="inlineStr">
        <is>
          <t>[41]</t>
        </is>
      </c>
      <c r="D52" s="65" t="inlineStr">
        <is>
          <t>Изследванията върху осигуряването на качеството извеждат именно оттук необходимостта интегрирането на изкустве</t>
        </is>
      </c>
      <c r="E52" s="65" t="inlineStr">
        <is>
          <t>Ниво 2 Твърдения</t>
        </is>
      </c>
      <c r="F52" s="65" t="n">
        <v>44</v>
      </c>
      <c r="G52" s="65" t="inlineStr">
        <is>
          <t>—</t>
        </is>
      </c>
      <c r="H52" s="65" t="inlineStr">
        <is>
          <t>[41]</t>
        </is>
      </c>
      <c r="I52" s="65" t="inlineStr"/>
    </row>
    <row r="53" ht="40" customHeight="1" s="22">
      <c r="A53" s="77" t="inlineStr">
        <is>
          <t>ИЗВАДКА ПОД 2 ИЗРЕЧЕНИЯ</t>
        </is>
      </c>
      <c r="B53" s="65" t="n">
        <v>104</v>
      </c>
      <c r="C53" s="65" t="inlineStr">
        <is>
          <t>[41]</t>
        </is>
      </c>
      <c r="D53" s="65" t="inlineStr">
        <is>
          <t>На институционално равнище това изискване се операционализира чрез правила и процедури: изследванията върху ос</t>
        </is>
      </c>
      <c r="E53" s="65" t="inlineStr">
        <is>
          <t>Ниво 2 Твърдения</t>
        </is>
      </c>
      <c r="F53" s="65" t="n">
        <v>48</v>
      </c>
      <c r="G53" s="65" t="inlineStr">
        <is>
          <t>—</t>
        </is>
      </c>
      <c r="H53" s="65" t="inlineStr">
        <is>
          <t>[41]</t>
        </is>
      </c>
      <c r="I53" s="65" t="inlineStr"/>
    </row>
    <row r="54" ht="40" customHeight="1" s="22">
      <c r="A54" s="77" t="inlineStr">
        <is>
          <t>ИЗВАДКА ПОД 2 ИЗРЕЧЕНИЯ</t>
        </is>
      </c>
      <c r="B54" s="65" t="n">
        <v>106</v>
      </c>
      <c r="C54" s="65" t="inlineStr">
        <is>
          <t>[1]</t>
        </is>
      </c>
      <c r="D54" s="65" t="inlineStr">
        <is>
          <t>Предложената за българските висши училища регулаторна рамка за използване на изкуствен интелект в докторантско</t>
        </is>
      </c>
      <c r="E54" s="65" t="inlineStr">
        <is>
          <t>Ниво 2 Твърдения</t>
        </is>
      </c>
      <c r="F54" s="65" t="n">
        <v>50</v>
      </c>
      <c r="G54" s="65" t="inlineStr">
        <is>
          <t>—</t>
        </is>
      </c>
      <c r="H54" s="65" t="inlineStr">
        <is>
          <t>[1]</t>
        </is>
      </c>
      <c r="I54" s="65" t="inlineStr"/>
    </row>
    <row r="55" ht="40" customHeight="1" s="22">
      <c r="A55" s="77" t="inlineStr">
        <is>
          <t>ИЗВАДКА ПОД 2 ИЗРЕЧЕНИЯ</t>
        </is>
      </c>
      <c r="B55" s="65" t="n">
        <v>108</v>
      </c>
      <c r="C55" s="65" t="inlineStr">
        <is>
          <t>[9]</t>
        </is>
      </c>
      <c r="D55" s="65" t="inlineStr">
        <is>
          <t>Анализите на приложението на изкуствения интелект в българската образователна система формулират като първо ус</t>
        </is>
      </c>
      <c r="E55" s="65" t="inlineStr">
        <is>
          <t>Ниво 2 Твърдения</t>
        </is>
      </c>
      <c r="F55" s="65" t="n">
        <v>52</v>
      </c>
      <c r="G55" s="65" t="inlineStr">
        <is>
          <t>—</t>
        </is>
      </c>
      <c r="H55" s="65" t="inlineStr">
        <is>
          <t>[9]</t>
        </is>
      </c>
      <c r="I55" s="65" t="inlineStr"/>
    </row>
    <row r="56" ht="40" customHeight="1" s="22">
      <c r="A56" s="77" t="inlineStr">
        <is>
          <t>ИЗВАДКА ПОД 2 ИЗРЕЧЕНИЯ</t>
        </is>
      </c>
      <c r="B56" s="65" t="n">
        <v>109</v>
      </c>
      <c r="C56" s="65" t="inlineStr">
        <is>
          <t>[16]</t>
        </is>
      </c>
      <c r="D56" s="65" t="inlineStr">
        <is>
          <t>В европейския контекст това изискване има и правно измерение: цитираната литература извежда като изискване съо</t>
        </is>
      </c>
      <c r="E56" s="65" t="inlineStr">
        <is>
          <t>Ниво 2 Твърдения</t>
        </is>
      </c>
      <c r="F56" s="65" t="n">
        <v>53</v>
      </c>
      <c r="G56" s="65" t="inlineStr">
        <is>
          <t>—</t>
        </is>
      </c>
      <c r="H56" s="65" t="inlineStr">
        <is>
          <t>[16]</t>
        </is>
      </c>
      <c r="I56" s="65" t="inlineStr"/>
    </row>
    <row r="57" ht="40" customHeight="1" s="22">
      <c r="A57" s="77" t="inlineStr">
        <is>
          <t>ИЗВАДКА ПОД 2 ИЗРЕЧЕНИЯ</t>
        </is>
      </c>
      <c r="B57" s="65" t="n">
        <v>110</v>
      </c>
      <c r="C57" s="65" t="inlineStr">
        <is>
          <t>[16]</t>
        </is>
      </c>
      <c r="D57" s="65" t="inlineStr">
        <is>
          <t xml:space="preserve">И в двата случая принципът е един: добросъвестността не изисква отказ от инструментите, а отчетена, проверена </t>
        </is>
      </c>
      <c r="E57" s="65" t="inlineStr">
        <is>
          <t>Ниво 2 Твърдения</t>
        </is>
      </c>
      <c r="F57" s="65" t="n">
        <v>54</v>
      </c>
      <c r="G57" s="65" t="inlineStr">
        <is>
          <t>—</t>
        </is>
      </c>
      <c r="H57" s="65" t="inlineStr">
        <is>
          <t>[16]</t>
        </is>
      </c>
      <c r="I57" s="65" t="inlineStr"/>
    </row>
    <row r="58" ht="40" customHeight="1" s="22">
      <c r="A58" s="77" t="inlineStr">
        <is>
          <t>ИЗВАДКА ПОД 2 ИЗРЕЧЕНИЯ</t>
        </is>
      </c>
      <c r="B58" s="65" t="n">
        <v>116</v>
      </c>
      <c r="C58" s="65" t="inlineStr">
        <is>
          <t>[38, 53]</t>
        </is>
      </c>
      <c r="D58" s="65" t="inlineStr">
        <is>
          <t>Съдържателната основа на тези критерии са установените педагогически и дизайнерски принципи: утвърдените рубри</t>
        </is>
      </c>
      <c r="E58" s="65" t="inlineStr">
        <is>
          <t>Ниво 2 Твърдения</t>
        </is>
      </c>
      <c r="F58" s="65" t="n">
        <v>55</v>
      </c>
      <c r="G58" s="65" t="inlineStr">
        <is>
          <t>—</t>
        </is>
      </c>
      <c r="H58" s="65" t="inlineStr">
        <is>
          <t>[38, 53]</t>
        </is>
      </c>
      <c r="I58" s="65" t="inlineStr"/>
    </row>
    <row r="59" ht="40" customHeight="1" s="22">
      <c r="A59" s="77" t="inlineStr">
        <is>
          <t>ИЗВАДКА ПОД 2 ИЗРЕЧЕНИЯ</t>
        </is>
      </c>
      <c r="B59" s="65" t="n">
        <v>117</v>
      </c>
      <c r="C59" s="65" t="inlineStr">
        <is>
          <t>[53]</t>
        </is>
      </c>
      <c r="D59" s="65" t="inlineStr">
        <is>
          <t>Показателен пример е рубриката на Quality Matters за висшето образование, чието седмо издание съдържа осем общ</t>
        </is>
      </c>
      <c r="E59" s="65" t="inlineStr">
        <is>
          <t>Ниво 2 Твърдения</t>
        </is>
      </c>
      <c r="F59" s="65" t="n">
        <v>56</v>
      </c>
      <c r="G59" s="65" t="inlineStr">
        <is>
          <t>—</t>
        </is>
      </c>
      <c r="H59" s="65" t="inlineStr">
        <is>
          <t>[53]</t>
        </is>
      </c>
      <c r="I59" s="65" t="inlineStr"/>
    </row>
    <row r="60" ht="40" customHeight="1" s="22">
      <c r="A60" s="77" t="inlineStr">
        <is>
          <t>ИЗВАДКА ПОД 2 ИЗРЕЧЕНИЯ</t>
        </is>
      </c>
      <c r="B60" s="65" t="n">
        <v>120</v>
      </c>
      <c r="C60" s="65" t="inlineStr">
        <is>
          <t>[28]</t>
        </is>
      </c>
      <c r="D60" s="65" t="inlineStr">
        <is>
          <t>Основополагащото изследване в тази област установява, че водещите езикови модели съвпадат с човешката преценка</t>
        </is>
      </c>
      <c r="E60" s="65" t="inlineStr">
        <is>
          <t>Ниво 2 Твърдения</t>
        </is>
      </c>
      <c r="F60" s="65" t="n">
        <v>58</v>
      </c>
      <c r="G60" s="65" t="inlineStr">
        <is>
          <t>—</t>
        </is>
      </c>
      <c r="H60" s="65" t="inlineStr">
        <is>
          <t>[28]</t>
        </is>
      </c>
      <c r="I60" s="65" t="inlineStr"/>
    </row>
    <row r="61" ht="40" customHeight="1" s="22">
      <c r="A61" s="77" t="inlineStr">
        <is>
          <t>ИЗВАДКА ПОД 2 ИЗРЕЧЕНИЯ</t>
        </is>
      </c>
      <c r="B61" s="65" t="n">
        <v>120</v>
      </c>
      <c r="C61" s="65" t="inlineStr">
        <is>
          <t>[13]</t>
        </is>
      </c>
      <c r="D61" s="65" t="inlineStr">
        <is>
          <t xml:space="preserve">Систематичният преглед на полето подрежда натрупаните подходи по три оси - какво се оценява, как се оценява и </t>
        </is>
      </c>
      <c r="E61" s="65" t="inlineStr">
        <is>
          <t>Ниво 2 Твърдения</t>
        </is>
      </c>
      <c r="F61" s="65" t="n">
        <v>59</v>
      </c>
      <c r="G61" s="65" t="inlineStr">
        <is>
          <t>—</t>
        </is>
      </c>
      <c r="H61" s="65" t="inlineStr">
        <is>
          <t>[13]</t>
        </is>
      </c>
      <c r="I61" s="65" t="inlineStr"/>
    </row>
    <row r="62" ht="40" customHeight="1" s="22">
      <c r="A62" s="77" t="inlineStr">
        <is>
          <t>ИЗВАДКА ПОД 2 ИЗРЕЧЕНИЯ</t>
        </is>
      </c>
      <c r="B62" s="65" t="n">
        <v>121</v>
      </c>
      <c r="C62" s="65" t="inlineStr">
        <is>
          <t>[13]</t>
        </is>
      </c>
      <c r="D62" s="65" t="inlineStr">
        <is>
          <t>Систематизациите на полето документират устойчиви отклонения в преценката на моделите-оценители: предпочитание</t>
        </is>
      </c>
      <c r="E62" s="65" t="inlineStr">
        <is>
          <t>Ниво 2 Твърдения</t>
        </is>
      </c>
      <c r="F62" s="65" t="n">
        <v>60</v>
      </c>
      <c r="G62" s="65" t="inlineStr">
        <is>
          <t>—</t>
        </is>
      </c>
      <c r="H62" s="65" t="inlineStr">
        <is>
          <t>[13]</t>
        </is>
      </c>
      <c r="I62" s="65" t="inlineStr"/>
    </row>
    <row r="63" ht="40" customHeight="1" s="22">
      <c r="A63" s="77" t="inlineStr">
        <is>
          <t>ИЗВАДКА ПОД 2 ИЗРЕЧЕНИЯ</t>
        </is>
      </c>
      <c r="B63" s="65" t="n">
        <v>121</v>
      </c>
      <c r="C63" s="65" t="inlineStr">
        <is>
          <t>[10]</t>
        </is>
      </c>
      <c r="D63" s="65" t="inlineStr">
        <is>
          <t>Още по-съществено за настоящата работа е установеното при многоезичните приложения: от над 650 публикации по т</t>
        </is>
      </c>
      <c r="E63" s="65" t="inlineStr">
        <is>
          <t>Ниво 2 Твърдения</t>
        </is>
      </c>
      <c r="F63" s="65" t="n">
        <v>61</v>
      </c>
      <c r="G63" s="65" t="inlineStr">
        <is>
          <t>—</t>
        </is>
      </c>
      <c r="H63" s="65" t="inlineStr">
        <is>
          <t>[10]</t>
        </is>
      </c>
      <c r="I63" s="65" t="inlineStr"/>
    </row>
    <row r="64" ht="40" customHeight="1" s="22">
      <c r="A64" s="77" t="inlineStr">
        <is>
          <t>ИЗВАДКА ПОД 2 ИЗРЕЧЕНИЯ</t>
        </is>
      </c>
      <c r="B64" s="65" t="n">
        <v>126</v>
      </c>
      <c r="C64" s="65" t="inlineStr">
        <is>
          <t>[7]</t>
        </is>
      </c>
      <c r="D64" s="65" t="inlineStr">
        <is>
          <t>Изследване върху проблемите и решенията при използването на генеративен изкуствен интелект в образованието изв</t>
        </is>
      </c>
      <c r="E64" s="65" t="inlineStr">
        <is>
          <t>Ниво 2 Твърдения</t>
        </is>
      </c>
      <c r="F64" s="65" t="n">
        <v>62</v>
      </c>
      <c r="G64" s="65" t="inlineStr">
        <is>
          <t>—</t>
        </is>
      </c>
      <c r="H64" s="65" t="inlineStr">
        <is>
          <t>[7]</t>
        </is>
      </c>
      <c r="I64" s="65" t="inlineStr"/>
    </row>
    <row r="65" ht="40" customHeight="1" s="22">
      <c r="A65" s="77" t="inlineStr">
        <is>
          <t>ИЗВАДКА ПОД 2 ИЗРЕЧЕНИЯ</t>
        </is>
      </c>
      <c r="B65" s="65" t="n">
        <v>127</v>
      </c>
      <c r="C65" s="65" t="inlineStr">
        <is>
          <t>[13]</t>
        </is>
      </c>
      <c r="D65" s="65" t="inlineStr">
        <is>
          <t>Систематизациите на автоматизираното оценяване извеждат същите два въпроса и по отношение на машинните оцените</t>
        </is>
      </c>
      <c r="E65" s="65" t="inlineStr">
        <is>
          <t>Ниво 2 Твърдения</t>
        </is>
      </c>
      <c r="F65" s="65" t="n">
        <v>63</v>
      </c>
      <c r="G65" s="65" t="inlineStr">
        <is>
          <t>—</t>
        </is>
      </c>
      <c r="H65" s="65" t="inlineStr">
        <is>
          <t>[13]</t>
        </is>
      </c>
      <c r="I65" s="65" t="inlineStr"/>
    </row>
    <row r="66" ht="40" customHeight="1" s="22">
      <c r="A66" s="77" t="inlineStr">
        <is>
          <t>ИЗВАДКА ПОД 2 ИЗРЕЧЕНИЯ</t>
        </is>
      </c>
      <c r="B66" s="65" t="n">
        <v>139</v>
      </c>
      <c r="C66" s="65" t="inlineStr">
        <is>
          <t>[28]</t>
        </is>
      </c>
      <c r="D66" s="65" t="inlineStr">
        <is>
          <t>Автоматизираното оценяване напредва бързо: моделите в ролята на оценители вече постигат съвпадение с човешката</t>
        </is>
      </c>
      <c r="E66" s="65" t="inlineStr">
        <is>
          <t>Ниво 2 Твърдения</t>
        </is>
      </c>
      <c r="F66" s="65" t="n">
        <v>64</v>
      </c>
      <c r="G66" s="65" t="inlineStr">
        <is>
          <t>—</t>
        </is>
      </c>
      <c r="H66" s="65" t="inlineStr">
        <is>
          <t>[28]</t>
        </is>
      </c>
      <c r="I66" s="65" t="inlineStr"/>
    </row>
    <row r="67" ht="40" customHeight="1" s="22">
      <c r="A67" s="77" t="inlineStr">
        <is>
          <t>ИЗВАДКА ПОД 2 ИЗРЕЧЕНИЯ</t>
        </is>
      </c>
      <c r="B67" s="65" t="n">
        <v>139</v>
      </c>
      <c r="C67" s="65" t="inlineStr">
        <is>
          <t>[10]</t>
        </is>
      </c>
      <c r="D67" s="65" t="inlineStr">
        <is>
          <t>Същевременно документираните отклонения в машинната преценка, липсата на валидирани данни за нискоресурсни ези</t>
        </is>
      </c>
      <c r="E67" s="65" t="inlineStr">
        <is>
          <t>Ниво 2 Твърдения</t>
        </is>
      </c>
      <c r="F67" s="65" t="n">
        <v>65</v>
      </c>
      <c r="G67" s="65" t="inlineStr">
        <is>
          <t>—</t>
        </is>
      </c>
      <c r="H67" s="65" t="inlineStr">
        <is>
          <t>[10]</t>
        </is>
      </c>
      <c r="I67" s="65" t="inlineStr"/>
    </row>
    <row r="68" ht="40" customHeight="1" s="22">
      <c r="A68" s="77" t="inlineStr">
        <is>
          <t>ИЗВАДКА ПОД 2 ИЗРЕЧЕНИЯ</t>
        </is>
      </c>
      <c r="B68" s="65" t="n">
        <v>146</v>
      </c>
      <c r="C68" s="65" t="inlineStr">
        <is>
          <t>[7]</t>
        </is>
      </c>
      <c r="D68" s="65" t="inlineStr">
        <is>
          <t xml:space="preserve">Към това семейство принадлежи и българският принос по темата: цитираното изследване на проблемите и решенията </t>
        </is>
      </c>
      <c r="E68" s="65" t="inlineStr">
        <is>
          <t>Гл.2–3 Ниво 2</t>
        </is>
      </c>
      <c r="F68" s="65" t="n">
        <v>2</v>
      </c>
      <c r="G68" s="65" t="inlineStr">
        <is>
          <t>—</t>
        </is>
      </c>
      <c r="H68" s="65" t="inlineStr">
        <is>
          <t>[7]</t>
        </is>
      </c>
      <c r="I68" s="65" t="inlineStr"/>
    </row>
    <row r="69" ht="40" customHeight="1" s="22">
      <c r="A69" s="77" t="inlineStr">
        <is>
          <t>ИЗВАДКА ПОД 2 ИЗРЕЧЕНИЯ</t>
        </is>
      </c>
      <c r="B69" s="65" t="n">
        <v>147</v>
      </c>
      <c r="C69" s="65" t="inlineStr">
        <is>
          <t>[36]</t>
        </is>
      </c>
      <c r="D69" s="65" t="inlineStr">
        <is>
          <t>Показателен пример е изследването на Huang и колектив, което конструира и апробира подход за оценяване на каче</t>
        </is>
      </c>
      <c r="E69" s="65" t="inlineStr">
        <is>
          <t>Гл.2–3 Ниво 2</t>
        </is>
      </c>
      <c r="F69" s="65" t="n">
        <v>3</v>
      </c>
      <c r="G69" s="65" t="inlineStr">
        <is>
          <t>—</t>
        </is>
      </c>
      <c r="H69" s="65" t="inlineStr">
        <is>
          <t>[36]</t>
        </is>
      </c>
      <c r="I69" s="65" t="inlineStr"/>
    </row>
    <row r="70" ht="40" customHeight="1" s="22">
      <c r="A70" s="77" t="inlineStr">
        <is>
          <t>ИЗВАДКА ПОД 2 ИЗРЕЧЕНИЯ</t>
        </is>
      </c>
      <c r="B70" s="65" t="n">
        <v>148</v>
      </c>
      <c r="C70" s="65" t="inlineStr">
        <is>
          <t>[41]</t>
        </is>
      </c>
      <c r="D70" s="65" t="inlineStr">
        <is>
          <t>На институционално равнище същата логика се проявява в рамки, които интегрират изкуствения интелект в системит</t>
        </is>
      </c>
      <c r="E70" s="65" t="inlineStr">
        <is>
          <t>Гл.2–3 Ниво 2</t>
        </is>
      </c>
      <c r="F70" s="65" t="n">
        <v>5</v>
      </c>
      <c r="G70" s="65" t="inlineStr">
        <is>
          <t>—</t>
        </is>
      </c>
      <c r="H70" s="65" t="inlineStr">
        <is>
          <t>[41]</t>
        </is>
      </c>
      <c r="I70" s="65" t="inlineStr"/>
    </row>
    <row r="71" ht="40" customHeight="1" s="22">
      <c r="A71" s="77" t="inlineStr">
        <is>
          <t>ИЗВАДКА ПОД 2 ИЗРЕЧЕНИЯ</t>
        </is>
      </c>
      <c r="B71" s="65" t="n">
        <v>153</v>
      </c>
      <c r="C71" s="65" t="inlineStr">
        <is>
          <t>[27]</t>
        </is>
      </c>
      <c r="D71" s="65" t="inlineStr">
        <is>
          <t>От една страна, халюцинациите правят възможни грешки от вид, който при добросъвестен човешки автор практически</t>
        </is>
      </c>
      <c r="E71" s="65" t="inlineStr">
        <is>
          <t>Гл.2–3 Ниво 2</t>
        </is>
      </c>
      <c r="F71" s="65" t="n">
        <v>6</v>
      </c>
      <c r="G71" s="65" t="inlineStr">
        <is>
          <t>—</t>
        </is>
      </c>
      <c r="H71" s="65" t="inlineStr">
        <is>
          <t>[27]</t>
        </is>
      </c>
      <c r="I71" s="65" t="inlineStr"/>
    </row>
    <row r="72" ht="40" customHeight="1" s="22">
      <c r="A72" s="77" t="inlineStr">
        <is>
          <t>ИЗВАДКА ПОД 2 ИЗРЕЧЕНИЯ</t>
        </is>
      </c>
      <c r="B72" s="65" t="n">
        <v>153</v>
      </c>
      <c r="C72" s="65" t="inlineStr">
        <is>
          <t>[34]</t>
        </is>
      </c>
      <c r="D72" s="65" t="inlineStr">
        <is>
          <t>От друга страна, тези грешки не са маркирани стилистично: сравнителните изследвания показват, че възприеманото</t>
        </is>
      </c>
      <c r="E72" s="65" t="inlineStr">
        <is>
          <t>Гл.2–3 Ниво 2</t>
        </is>
      </c>
      <c r="F72" s="65" t="n">
        <v>7</v>
      </c>
      <c r="G72" s="65" t="inlineStr">
        <is>
          <t>—</t>
        </is>
      </c>
      <c r="H72" s="65" t="inlineStr">
        <is>
          <t>[34]</t>
        </is>
      </c>
      <c r="I72" s="65" t="inlineStr"/>
    </row>
    <row r="73" ht="40" customHeight="1" s="22">
      <c r="A73" s="77" t="inlineStr">
        <is>
          <t>ИЗВАДКА ПОД 2 ИЗРЕЧЕНИЯ</t>
        </is>
      </c>
      <c r="B73" s="65" t="n">
        <v>157</v>
      </c>
      <c r="C73" s="65" t="inlineStr">
        <is>
          <t>[43]</t>
        </is>
      </c>
      <c r="D73" s="65" t="inlineStr">
        <is>
          <t>Генерираният текст може да се позовава на несъществуващи публикации или да приписва на реални източници твърде</t>
        </is>
      </c>
      <c r="E73" s="65" t="inlineStr">
        <is>
          <t>Гл.2–3 Ниво 2</t>
        </is>
      </c>
      <c r="F73" s="65" t="n">
        <v>9</v>
      </c>
      <c r="G73" s="65" t="inlineStr">
        <is>
          <t>—</t>
        </is>
      </c>
      <c r="H73" s="65" t="inlineStr">
        <is>
          <t>[43]</t>
        </is>
      </c>
      <c r="I73" s="65" t="inlineStr"/>
    </row>
    <row r="74" ht="40" customHeight="1" s="22">
      <c r="A74" s="77" t="inlineStr">
        <is>
          <t>ИЗВАДКА ПОД 2 ИЗРЕЧЕНИЯ</t>
        </is>
      </c>
      <c r="B74" s="65" t="n">
        <v>158</v>
      </c>
      <c r="C74" s="65" t="inlineStr">
        <is>
          <t>[43]</t>
        </is>
      </c>
      <c r="D74" s="65" t="inlineStr">
        <is>
          <t>Изследване върху 636 библиографски позовавания, генерирани от два широко използвани диалогови модела, установя</t>
        </is>
      </c>
      <c r="E74" s="65" t="inlineStr">
        <is>
          <t>Гл.2–3 Ниво 2</t>
        </is>
      </c>
      <c r="F74" s="65" t="n">
        <v>10</v>
      </c>
      <c r="G74" s="65" t="inlineStr">
        <is>
          <t>—</t>
        </is>
      </c>
      <c r="H74" s="65" t="inlineStr">
        <is>
          <t>[43]</t>
        </is>
      </c>
      <c r="I74" s="65" t="inlineStr"/>
    </row>
    <row r="75" ht="40" customHeight="1" s="22">
      <c r="A75" s="77" t="inlineStr">
        <is>
          <t>ИЗВАДКА ПОД 2 ИЗРЕЧЕНИЯ</t>
        </is>
      </c>
      <c r="B75" s="65" t="n">
        <v>163</v>
      </c>
      <c r="C75" s="65" t="inlineStr">
        <is>
          <t>[47]</t>
        </is>
      </c>
      <c r="D75" s="65" t="inlineStr">
        <is>
          <t>Опитът на системите за контролирано генериране потвърждава това от обратната страна: за да бъде генерираното с</t>
        </is>
      </c>
      <c r="E75" s="65" t="inlineStr">
        <is>
          <t>Гл.2–3 Ниво 2</t>
        </is>
      </c>
      <c r="F75" s="65" t="n">
        <v>13</v>
      </c>
      <c r="G75" s="65" t="inlineStr">
        <is>
          <t>—</t>
        </is>
      </c>
      <c r="H75" s="65" t="inlineStr">
        <is>
          <t>[47]</t>
        </is>
      </c>
      <c r="I75" s="65" t="inlineStr"/>
    </row>
    <row r="76" ht="40" customHeight="1" s="22">
      <c r="A76" s="77" t="inlineStr">
        <is>
          <t>ИЗВАДКА ПОД 2 ИЗРЕЧЕНИЯ</t>
        </is>
      </c>
      <c r="B76" s="65" t="n">
        <v>170</v>
      </c>
      <c r="C76" s="65" t="inlineStr">
        <is>
          <t>[2, 16]</t>
        </is>
      </c>
      <c r="D76" s="65" t="inlineStr">
        <is>
          <t>Литературата отбелязва, че основната част от изследванията върху езиковите модели е направена за английския ез</t>
        </is>
      </c>
      <c r="E76" s="65" t="inlineStr">
        <is>
          <t>Гл.2–3 Ниво 2</t>
        </is>
      </c>
      <c r="F76" s="65" t="n">
        <v>18</v>
      </c>
      <c r="G76" s="65" t="inlineStr">
        <is>
          <t>—</t>
        </is>
      </c>
      <c r="H76" s="65" t="inlineStr">
        <is>
          <t>[2, 16]</t>
        </is>
      </c>
      <c r="I76" s="65" t="inlineStr"/>
    </row>
    <row r="77" ht="40" customHeight="1" s="22">
      <c r="A77" s="77" t="inlineStr">
        <is>
          <t>ИЗВАДКА ПОД 2 ИЗРЕЧЕНИЯ</t>
        </is>
      </c>
      <c r="B77" s="65" t="n">
        <v>172</v>
      </c>
      <c r="C77" s="65" t="inlineStr">
        <is>
          <t>[2]</t>
        </is>
      </c>
      <c r="D77" s="65" t="inlineStr">
        <is>
          <t>При съпоставимо по обем генериране на тестови въпроси от учебен текст на два езика делът на въпросите, изисква</t>
        </is>
      </c>
      <c r="E77" s="65" t="inlineStr">
        <is>
          <t>Гл.2–3 Ниво 2</t>
        </is>
      </c>
      <c r="F77" s="65" t="n">
        <v>18</v>
      </c>
      <c r="G77" s="65" t="inlineStr">
        <is>
          <t>—</t>
        </is>
      </c>
      <c r="H77" s="65" t="inlineStr">
        <is>
          <t>[2]</t>
        </is>
      </c>
      <c r="I77" s="65" t="inlineStr"/>
    </row>
    <row r="78" ht="40" customHeight="1" s="22">
      <c r="A78" s="77" t="inlineStr">
        <is>
          <t>ИЗВАДКА ПОД 2 ИЗРЕЧЕНИЯ</t>
        </is>
      </c>
      <c r="B78" s="65" t="n">
        <v>173</v>
      </c>
      <c r="C78" s="65" t="inlineStr">
        <is>
          <t>[38]</t>
        </is>
      </c>
      <c r="D78" s="65" t="inlineStr">
        <is>
          <t>Текстовата и визуалната организация обхваща разчленяването на изложението - заглавия, които отразяват съдържан</t>
        </is>
      </c>
      <c r="E78" s="65" t="inlineStr">
        <is>
          <t>Гл.2–3 Ниво 2</t>
        </is>
      </c>
      <c r="F78" s="65" t="n">
        <v>19</v>
      </c>
      <c r="G78" s="65" t="inlineStr">
        <is>
          <t>—</t>
        </is>
      </c>
      <c r="H78" s="65" t="inlineStr">
        <is>
          <t>[38]</t>
        </is>
      </c>
      <c r="I78" s="65" t="inlineStr"/>
    </row>
    <row r="79" ht="40" customHeight="1" s="22">
      <c r="A79" s="77" t="inlineStr">
        <is>
          <t>ИЗВАДКА ПОД 2 ИЗРЕЧЕНИЯ</t>
        </is>
      </c>
      <c r="B79" s="65" t="n">
        <v>174</v>
      </c>
      <c r="C79" s="65" t="inlineStr">
        <is>
          <t>[51]</t>
        </is>
      </c>
      <c r="D79" s="65" t="inlineStr">
        <is>
          <t xml:space="preserve">Рамката на универсалния дизайн за учене (UDL) изисква учебното съдържание да предоставя множество средства за </t>
        </is>
      </c>
      <c r="E79" s="65" t="inlineStr">
        <is>
          <t>Гл.2–3 Ниво 2</t>
        </is>
      </c>
      <c r="F79" s="65" t="n">
        <v>20</v>
      </c>
      <c r="G79" s="65" t="inlineStr">
        <is>
          <t>—</t>
        </is>
      </c>
      <c r="H79" s="65" t="inlineStr">
        <is>
          <t>[51]</t>
        </is>
      </c>
      <c r="I79" s="65" t="inlineStr"/>
    </row>
    <row r="80" ht="40" customHeight="1" s="22">
      <c r="A80" s="77" t="inlineStr">
        <is>
          <t>ИЗВАДКА ПОД 2 ИЗРЕЧЕНИЯ</t>
        </is>
      </c>
      <c r="B80" s="65" t="n">
        <v>179</v>
      </c>
      <c r="C80" s="65" t="inlineStr">
        <is>
          <t>[30]</t>
        </is>
      </c>
      <c r="D80" s="65" t="inlineStr">
        <is>
          <t>Емпиричните оценки обаче показват, че точността и надеждността на такива детектори в академичен контекст са не</t>
        </is>
      </c>
      <c r="E80" s="65" t="inlineStr">
        <is>
          <t>Гл.2–3 Ниво 2</t>
        </is>
      </c>
      <c r="F80" s="65" t="n">
        <v>22</v>
      </c>
      <c r="G80" s="65" t="inlineStr">
        <is>
          <t>—</t>
        </is>
      </c>
      <c r="H80" s="65" t="inlineStr">
        <is>
          <t>[30]</t>
        </is>
      </c>
      <c r="I80" s="65" t="inlineStr"/>
    </row>
    <row r="81" ht="40" customHeight="1" s="22">
      <c r="A81" s="77" t="inlineStr">
        <is>
          <t>ИЗВАДКА ПОД 2 ИЗРЕЧЕНИЯ</t>
        </is>
      </c>
      <c r="B81" s="65" t="n">
        <v>182</v>
      </c>
      <c r="C81" s="65" t="inlineStr">
        <is>
          <t>[16]</t>
        </is>
      </c>
      <c r="D81" s="65" t="inlineStr">
        <is>
          <t>Генерираният материал може да съдържа елементи, наследени от обучителните данни: стереотипизиращи примери и ро</t>
        </is>
      </c>
      <c r="E81" s="65" t="inlineStr">
        <is>
          <t>Гл.2–3 Ниво 2</t>
        </is>
      </c>
      <c r="F81" s="65" t="n">
        <v>25</v>
      </c>
      <c r="G81" s="65" t="inlineStr">
        <is>
          <t>—</t>
        </is>
      </c>
      <c r="H81" s="65" t="inlineStr">
        <is>
          <t>[16]</t>
        </is>
      </c>
      <c r="I81" s="65" t="inlineStr"/>
    </row>
    <row r="82" ht="40" customHeight="1" s="22">
      <c r="A82" s="77" t="inlineStr">
        <is>
          <t>ИЗВАДКА ПОД 2 ИЗРЕЧЕНИЯ</t>
        </is>
      </c>
      <c r="B82" s="65" t="n">
        <v>186</v>
      </c>
      <c r="C82" s="65" t="inlineStr">
        <is>
          <t>[34]</t>
        </is>
      </c>
      <c r="D82" s="65" t="inlineStr">
        <is>
          <t>Определящата характеристика на тези дефицити не е тяхната честота, а тяхната невидимост: сравнителните изследв</t>
        </is>
      </c>
      <c r="E82" s="65" t="inlineStr">
        <is>
          <t>Гл.2–3 Ниво 2</t>
        </is>
      </c>
      <c r="F82" s="65" t="n">
        <v>26</v>
      </c>
      <c r="G82" s="65" t="inlineStr">
        <is>
          <t>—</t>
        </is>
      </c>
      <c r="H82" s="65" t="inlineStr">
        <is>
          <t>[34]</t>
        </is>
      </c>
      <c r="I82" s="65" t="inlineStr"/>
    </row>
    <row r="83" ht="40" customHeight="1" s="22">
      <c r="A83" s="77" t="inlineStr">
        <is>
          <t>ИЗВАДКА ПОД 2 ИЗРЕЧЕНИЯ</t>
        </is>
      </c>
      <c r="B83" s="65" t="n">
        <v>188</v>
      </c>
      <c r="C83" s="65" t="inlineStr">
        <is>
          <t>[16]</t>
        </is>
      </c>
      <c r="D83" s="65" t="inlineStr">
        <is>
          <t>В четвъртата област - оригиналност и етична допустимост - типичните дефицити са скритата близост до съществува</t>
        </is>
      </c>
      <c r="E83" s="65" t="inlineStr">
        <is>
          <t>Гл.2–3 Ниво 2</t>
        </is>
      </c>
      <c r="F83" s="65" t="n">
        <v>28</v>
      </c>
      <c r="G83" s="65" t="inlineStr">
        <is>
          <t>—</t>
        </is>
      </c>
      <c r="H83" s="65" t="inlineStr">
        <is>
          <t>[16]</t>
        </is>
      </c>
      <c r="I83" s="65" t="inlineStr"/>
    </row>
    <row r="84" ht="40" customHeight="1" s="22">
      <c r="A84" s="77" t="inlineStr">
        <is>
          <t>ИЗВАДКА ПОД 2 ИЗРЕЧЕНИЯ</t>
        </is>
      </c>
      <c r="B84" s="65" t="n">
        <v>253</v>
      </c>
      <c r="C84" s="65" t="inlineStr">
        <is>
          <t>[50]</t>
        </is>
      </c>
      <c r="D84" s="65" t="inlineStr">
        <is>
          <t>Обстоятелството е особено благоприятно за целите на апробирането: към момента на генериране на материалите осн</t>
        </is>
      </c>
      <c r="E84" s="65" t="inlineStr">
        <is>
          <t>Гл.2–3 Ниво 2</t>
        </is>
      </c>
      <c r="F84" s="65" t="n">
        <v>30</v>
      </c>
      <c r="G84" s="65" t="inlineStr">
        <is>
          <t>—</t>
        </is>
      </c>
      <c r="H84" s="65" t="inlineStr">
        <is>
          <t>[50]</t>
        </is>
      </c>
      <c r="I84" s="65" t="inlineStr"/>
    </row>
    <row r="85" ht="40" customHeight="1" s="22">
      <c r="A85" s="69" t="inlineStr">
        <is>
          <t>НЕПОТВЪРДЕН СТАТУС</t>
        </is>
      </c>
      <c r="B85" s="65" t="n">
        <v>155</v>
      </c>
      <c r="C85" s="65" t="inlineStr">
        <is>
          <t>[50]</t>
        </is>
      </c>
      <c r="D85" s="65" t="inlineStr">
        <is>
          <t>Рамката Angular е показателен пример: до версия 22 тя следва шестмесечен цикъл на основнит</t>
        </is>
      </c>
      <c r="E85" s="65" t="inlineStr">
        <is>
          <t>Гл.2–3 Ниво 2</t>
        </is>
      </c>
      <c r="F85" s="65" t="n">
        <v>8</v>
      </c>
      <c r="G85" s="65" t="inlineStr">
        <is>
          <t>Частично потвърдено</t>
        </is>
      </c>
      <c r="H85" s="65" t="inlineStr">
        <is>
          <t>[50]</t>
        </is>
      </c>
      <c r="I85" s="65" t="inlineStr"/>
    </row>
    <row r="86" ht="40" customHeight="1" s="22">
      <c r="A86" s="69" t="inlineStr">
        <is>
          <t>НЕПОТВЪРДЕН СТАТУС</t>
        </is>
      </c>
      <c r="B86" s="65" t="n">
        <v>164</v>
      </c>
      <c r="C86" s="65" t="inlineStr">
        <is>
          <t>[19]</t>
        </is>
      </c>
      <c r="D86" s="65" t="inlineStr">
        <is>
          <t>Систематичният преглед на 93 изследвания в тази област показва, че още преди големите език</t>
        </is>
      </c>
      <c r="E86" s="65" t="inlineStr">
        <is>
          <t>Гл.2–3 Ниво 2</t>
        </is>
      </c>
      <c r="F86" s="65" t="n">
        <v>14</v>
      </c>
      <c r="G86" s="65" t="inlineStr">
        <is>
          <t>Частично потвърдено</t>
        </is>
      </c>
      <c r="H86" s="65" t="inlineStr">
        <is>
          <t>[19]</t>
        </is>
      </c>
      <c r="I86" s="65" t="inlineStr"/>
    </row>
  </sheetData>
  <autoFilter ref="A1:I86"/>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B1:C3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4" customWidth="1" style="21" min="1" max="1"/>
    <col width="30" customWidth="1" style="21" min="2" max="2"/>
    <col width="105" customWidth="1" style="21" min="3" max="3"/>
  </cols>
  <sheetData>
    <row r="1" ht="17.25" customHeight="1" s="22">
      <c r="B1" s="23" t="inlineStr">
        <is>
          <t>План за потвърждаване на цитираното от всички източници</t>
        </is>
      </c>
    </row>
    <row r="2" ht="15" customHeight="1" s="22">
      <c r="B2" s="24" t="inlineStr">
        <is>
          <t>НИП „Александър Гръмов“ — Първа глава, 36 източника, 64 цитирани твърдения</t>
        </is>
      </c>
    </row>
    <row r="3"/>
    <row r="4" ht="45.75" customHeight="1" s="22">
      <c r="B4" s="25" t="inlineStr">
        <is>
          <t>Защо е нужно</t>
        </is>
      </c>
      <c r="C4" s="26" t="inlineStr">
        <is>
          <t>Първа глава има 36 източника и 64 места, където конкретно твърдение е обвързано с източник. Част от записите носят признаци на риск: запис без автор с arXiv номер от 2026 г., два записа от конференции с 2026 г., един непрофилен източник (документация на Angular), един запис без DOI. Отделно 15 твърдения съдържат точни числа (проценти, брой публикации, брой стандарти), които или се потвърждават дословно, или трябва да отпаднат.</t>
        </is>
      </c>
    </row>
    <row r="5"/>
    <row r="6" ht="34.5" customHeight="1" s="22">
      <c r="B6" s="25" t="inlineStr">
        <is>
          <t>Двустепенен принцип</t>
        </is>
      </c>
      <c r="C6" s="26" t="inlineStr">
        <is>
          <t>Ниво 1 проверява дали източникът съществува и дали библиографският запис е верен. Ниво 2 проверява дали конкретното твърдение наистина се съдържа в източника и на посоченото място. Източник може да мине Ниво 1 и да се провали на Ниво 2 — това е по-опасната грешка, защото не се вижда при повърхностен преглед.</t>
        </is>
      </c>
    </row>
    <row r="7"/>
    <row r="8" ht="23.25" customHeight="1" s="22">
      <c r="B8" s="25" t="inlineStr">
        <is>
          <t>Ред на работа</t>
        </is>
      </c>
      <c r="C8" s="26" t="inlineStr">
        <is>
          <t>1) Ниво 1 за всички 36 записа. 2) Ниво 2 за твърденията с приоритет „Критичен“ (числа и точни структури). 3) Ниво 2 за „Висок“. 4) Ниво 2 за останалите. 5) Отстраняване на находките в текста. 6) Финален контрол по листа „Обобщение“.</t>
        </is>
      </c>
    </row>
    <row r="9"/>
    <row r="10" ht="34.5" customHeight="1" s="22">
      <c r="B10" s="25" t="inlineStr">
        <is>
          <t>Критерий „Потвърдено“</t>
        </is>
      </c>
      <c r="C10" s="26" t="inlineStr">
        <is>
          <t>Отворен е самият източник (не абстракт, не вторично цитиране), намерено е мястото, което носи твърдението, и формулировката в текста не е по-силна от формулировката в източника. Записва се страница/раздел в колона „Намерено на“.</t>
        </is>
      </c>
    </row>
    <row r="11"/>
    <row r="12" ht="23.25" customHeight="1" s="22">
      <c r="B12" s="25" t="inlineStr">
        <is>
          <t>Критерий „Частично“</t>
        </is>
      </c>
      <c r="C12" s="26" t="inlineStr">
        <is>
          <t>Твърдението се съдържа, но обхватът, числото или категоричността се разминават. Изисква преформулиране в текста — не отпадане на източника.</t>
        </is>
      </c>
    </row>
    <row r="13"/>
    <row r="14" ht="23.25" customHeight="1" s="22">
      <c r="B14" s="25" t="inlineStr">
        <is>
          <t>Специално правило: числа</t>
        </is>
      </c>
      <c r="C14" s="26" t="inlineStr">
        <is>
          <t>Всяко число се проследява до първоизточника. Ако източникът сам цитира числото от другаде (напр. ред 61), цитира се първоизточникът или се пише „по данни, цитирани в [X]“.</t>
        </is>
      </c>
    </row>
    <row r="15"/>
    <row r="16" ht="34.5" customHeight="1" s="22">
      <c r="B16" s="25" t="inlineStr">
        <is>
          <t>Специално правило: локатори</t>
        </is>
      </c>
      <c r="C16" s="26" t="inlineStr">
        <is>
          <t>Локаторите [30, гл. 1/4/9/12/13/21], [27, с. 44–45], [12, обл. 2] се проверяват срещу точното издание. Номерата на глави се менят между изданията — това е най-честият източник на невярна препратка при преизползван локатор от по-старо издание.</t>
        </is>
      </c>
    </row>
    <row r="17"/>
    <row r="18" ht="23.25" customHeight="1" s="22">
      <c r="B18" s="25" t="inlineStr">
        <is>
          <t>Специално правило: приписване</t>
        </is>
      </c>
      <c r="C18" s="26" t="inlineStr">
        <is>
          <t>За обобщаващи изречения („систематичните прегледи показват…“) се проверява дали изводът е на източника или е авторски синтез. Ако е авторски — цитатът се премества или се преформулира. Засегнати редове: 8, 23, 45, 46.</t>
        </is>
      </c>
    </row>
    <row r="19"/>
    <row r="20" ht="34.5" customHeight="1" s="22">
      <c r="B20" s="25" t="inlineStr">
        <is>
          <t>Инструменти</t>
        </is>
      </c>
      <c r="C20" s="26" t="inlineStr">
        <is>
          <t>DOI резолвер (doi.org), Crossref, arXiv, IEEE Xplore, Google Scholar, EUR-Lex за [31], сайтовете на UNESCO, Quality Matters и IEEE SA. За българските сборници [1–6, 8, 9] — сборникът на конференцията в Русе (PDF/ISBN) или директна връзка с авторите; онлайн проверка вероятно няма да е достатъчна.</t>
        </is>
      </c>
    </row>
    <row r="21"/>
    <row r="22" ht="23.25" customHeight="1" s="22">
      <c r="B22" s="25" t="inlineStr">
        <is>
          <t>Оценка на обема</t>
        </is>
      </c>
      <c r="C22" s="26" t="inlineStr">
        <is>
          <t>Ниво 1: около 3–4 часа за 36 записа. Ниво 2: около 8–12 часа, като тежестта е в 15-те критични реда и в достъпа до платените издания. Реалистичен срок при 2–3 часа дневно — 5 работни дни.</t>
        </is>
      </c>
    </row>
    <row r="23"/>
    <row r="24" ht="23.25" customHeight="1" s="22">
      <c r="B24" s="25" t="inlineStr">
        <is>
          <t>Как се попълва</t>
        </is>
      </c>
      <c r="C24" s="26" t="inlineStr">
        <is>
          <t>Работи се само в колоните със светложълт фон: „Статус“, „Намерено на“, „Бележка/действие“, „Проверил“, „Дата“. Останалите колони са входни данни, извлечени от документа. Листът „Обобщение“ се преизчислява сам.</t>
        </is>
      </c>
    </row>
    <row r="25"/>
    <row r="26"/>
    <row r="27"/>
    <row r="28">
      <c r="B28" s="45" t="inlineStr">
        <is>
          <t>Пилот humanize (28.08.2026)</t>
        </is>
      </c>
      <c r="C28" s="46" t="inlineStr">
        <is>
          <t>Раздел 1.5 беше пренаписан с humanizer и отхвърлен. Цитатите и числата се запазиха, но обемът се сви с 39 %, всичките 12 цитирани изречения бяха променени, седем конкретни детайла отпаднаха („трите оценъчни оси“, „от всички образователни степени“, „между отделни заявки“ и др.), периодът 2007–2018 излезе от изречението със своя цитат, описателно твърдение за литературата стана нормативно предписание с чужд цитат зад него, и се появи неподкрепена причинно-следствена връзка („генеративните инструменти наследяват този дефицит“). РЕШЕНИЕ: текстът НЕ се пренаписва. Инструментът се ползва само като детектор. Проверката тече срещу оригиналния текст.</t>
        </is>
      </c>
    </row>
    <row r="29"/>
    <row r="30">
      <c r="B30" s="67" t="inlineStr">
        <is>
          <t>Ревизия 31.08.2026 — покритие на Ниво 1</t>
        </is>
      </c>
    </row>
    <row r="31">
      <c r="B31" s="65" t="inlineStr">
        <is>
          <t>Листовете „Ниво 1 Източници“ и „Гл.2–3 Ниво 1“ използват стара номерация (42, съотв. междинен списък) и не покриваха целия текущ списък: 10 източника — [11], [22], [24], [32], [38], [44], [45], [46], [48], [49] — нямаха нито един ред за Ниво 1. Листът „Ниво 1 — всички 53“ е новият меродавен: съдържа всеки от 53-те записа по текущата номерация, статуса му и препратка към предишния ред. Старите листове се запазват само като история.</t>
        </is>
      </c>
    </row>
    <row r="32"/>
    <row r="33">
      <c r="B33" s="67" t="inlineStr">
        <is>
          <t>Одит 01.09.2026 — определение за „готово“</t>
        </is>
      </c>
    </row>
    <row r="34">
      <c r="B34" s="65" t="inlineStr">
        <is>
          <t>Скриптът proverka_citirane.py изброява всяко изречение с цитат и проверява дали има ред с ДОСЛОВНА извадка — от 01.09.2026 изискването е ПОНЕ ДВЕ ИЗРЕЧЕНИЯ в кавички, не отделни думи. При това изискване: 115 изречения с цитат, 30 покрити, 85 дупки — вж. листа „Одит на цитиранията“. Работата не е готова, докато скриптът не върне „дупки: 0“. Правилата са в Protokol_citirane.md.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3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outlineLevelCol="0"/>
  <cols>
    <col width="5" customWidth="1" style="21" min="1" max="1"/>
    <col width="8" customWidth="1" style="21" min="2" max="2"/>
    <col width="20" customWidth="1" style="21" min="3" max="3"/>
    <col width="7" customWidth="1" style="21" min="4" max="4"/>
    <col width="40" customWidth="1" style="21" min="5" max="5"/>
    <col width="26" customWidth="1" style="21" min="6" max="6"/>
    <col width="44" customWidth="1" style="21" min="7" max="7"/>
    <col width="46" customWidth="1" style="21" min="8" max="8"/>
    <col width="10" customWidth="1" style="21" min="9" max="9"/>
    <col width="22" customWidth="1" style="21" min="10" max="10"/>
    <col width="24" customWidth="1" style="21" min="11" max="11"/>
    <col width="30" customWidth="1" style="21" min="12" max="12"/>
    <col width="12" customWidth="1" style="21" min="13" max="13"/>
    <col width="11" customWidth="1" style="21" min="14" max="14"/>
  </cols>
  <sheetData>
    <row r="1" ht="31.5" customHeight="1" s="22">
      <c r="A1" s="27" t="inlineStr">
        <is>
          <t>№</t>
        </is>
      </c>
      <c r="B1" s="56" t="inlineStr">
        <is>
          <t>Нов №</t>
        </is>
      </c>
      <c r="C1" s="27" t="inlineStr">
        <is>
          <t>Източник (кратко)</t>
        </is>
      </c>
      <c r="D1" s="27" t="inlineStr">
        <is>
          <t>Тип</t>
        </is>
      </c>
      <c r="E1" s="27" t="inlineStr">
        <is>
          <t>Год.</t>
        </is>
      </c>
      <c r="F1" s="27" t="inlineStr">
        <is>
          <t>Идентификатор / локация</t>
        </is>
      </c>
      <c r="G1" s="27" t="inlineStr">
        <is>
          <t>Локален файл (extracted_md)</t>
        </is>
      </c>
      <c r="H1" s="47" t="inlineStr">
        <is>
          <t>Линк, използван при проверката</t>
        </is>
      </c>
      <c r="I1" s="27" t="inlineStr">
        <is>
          <t>Как се проверява</t>
        </is>
      </c>
      <c r="J1" s="27" t="inlineStr">
        <is>
          <t>Риск</t>
        </is>
      </c>
      <c r="K1" s="27" t="inlineStr">
        <is>
          <t>Основание за риска</t>
        </is>
      </c>
      <c r="L1" s="27" t="inlineStr">
        <is>
          <t>Брой твърдения</t>
        </is>
      </c>
      <c r="M1" s="27" t="inlineStr">
        <is>
          <t>Статус</t>
        </is>
      </c>
      <c r="N1" s="27" t="inlineStr">
        <is>
          <t>Намерено / DOI потвърден</t>
        </is>
      </c>
      <c r="O1" s="27" t="inlineStr">
        <is>
          <t>Бележка / действие</t>
        </is>
      </c>
      <c r="P1" s="27" t="inlineStr">
        <is>
          <t>Проверил</t>
        </is>
      </c>
      <c r="Q1" s="27" t="inlineStr">
        <is>
          <t>Дата</t>
        </is>
      </c>
    </row>
    <row r="2" ht="34.5" customHeight="1" s="22">
      <c r="A2" s="28" t="n">
        <v>1</v>
      </c>
      <c r="B2" s="49" t="n">
        <v>1</v>
      </c>
      <c r="C2" s="29" t="inlineStr">
        <is>
          <t>А. Захариев — ИИ в ОНС „доктор“: дигитализация, регулация, кредитна акселерация</t>
        </is>
      </c>
      <c r="D2" s="28" t="inlineStr">
        <is>
          <t>Доклад в сборник (BG)</t>
        </is>
      </c>
      <c r="E2" s="28" t="inlineStr">
        <is>
          <t>2026</t>
        </is>
      </c>
      <c r="F2" s="29" t="inlineStr">
        <is>
          <t>Сб. „Дигитална трансформация на образованието“, Русе, с. 15–23</t>
        </is>
      </c>
      <c r="G2" s="29" t="inlineStr">
        <is>
          <t>2026_p-2.md</t>
        </is>
      </c>
      <c r="H2" s="48" t="inlineStr">
        <is>
          <t>https://www.conf-dte.bg/docs/2026/p-2.pdf</t>
        </is>
      </c>
      <c r="I2" s="29" t="inlineStr">
        <is>
          <t>Сборник на конференцията (PDF/ISBN); при липса — контакт с организатора или автора</t>
        </is>
      </c>
      <c r="J2" s="28" t="inlineStr">
        <is>
          <t>Среден</t>
        </is>
      </c>
      <c r="K2" s="29" t="inlineStr">
        <is>
          <t>Сборник от 2026 г.; онлайн наличност несигурна. Твърдение с нормативна конкретика (ред 49).</t>
        </is>
      </c>
      <c r="L2" s="28">
        <f>COUNTIF('Ниво 2 Твърдения'!$C$2:$C$65,"*["&amp;A2&amp;"]*")</f>
        <v/>
      </c>
      <c r="M2" s="30" t="inlineStr">
        <is>
          <t>Потвърдено</t>
        </is>
      </c>
      <c r="N2" s="30" t="inlineStr">
        <is>
          <t>2026_p-2.pdf, печ. стр. 15–23</t>
        </is>
      </c>
      <c r="O2" s="31" t="inlineStr">
        <is>
          <t>Заглавие, автор (Андрей Захариев) и страници съвпадат.</t>
        </is>
      </c>
      <c r="P2" s="30" t="inlineStr">
        <is>
          <t>Claude (авт.)</t>
        </is>
      </c>
      <c r="Q2" s="30" t="inlineStr">
        <is>
          <t>28.08.2026</t>
        </is>
      </c>
    </row>
    <row r="3" ht="34.5" customHeight="1" s="22">
      <c r="A3" s="28" t="n">
        <v>2</v>
      </c>
      <c r="B3" s="49" t="n">
        <v>2</v>
      </c>
      <c r="C3" s="29" t="inlineStr">
        <is>
          <t>Д. Димитранов, Г. Димитров — ИИ за автоматизирано създаване на бази с тестови въпроси</t>
        </is>
      </c>
      <c r="D3" s="28" t="inlineStr">
        <is>
          <t>Доклад в сборник (BG)</t>
        </is>
      </c>
      <c r="E3" s="28" t="inlineStr">
        <is>
          <t>2026</t>
        </is>
      </c>
      <c r="F3" s="29" t="inlineStr">
        <is>
          <t>Същият сборник, с. 576–580</t>
        </is>
      </c>
      <c r="G3" s="29" t="inlineStr">
        <is>
          <t>2026_p-100.md</t>
        </is>
      </c>
      <c r="H3" s="48" t="inlineStr">
        <is>
          <t>https://www.conf-dte.bg/docs/2026/p-100.pdf</t>
        </is>
      </c>
      <c r="I3" s="29" t="inlineStr">
        <is>
          <t>Сборник; проверка на числата 656 000 знака / 553 въпроса</t>
        </is>
      </c>
      <c r="J3" s="32" t="inlineStr">
        <is>
          <t>Висок</t>
        </is>
      </c>
      <c r="K3" s="29" t="inlineStr">
        <is>
          <t>Носи три точни числа (ред 32) в доклад от 5 страници.</t>
        </is>
      </c>
      <c r="L3" s="28">
        <f>COUNTIF('Ниво 2 Твърдения'!$C$2:$C$65,"*["&amp;A3&amp;"]*")</f>
        <v/>
      </c>
      <c r="M3" s="30" t="inlineStr">
        <is>
          <t>Потвърдено</t>
        </is>
      </c>
      <c r="N3" s="30" t="inlineStr">
        <is>
          <t>2026_p-100.pdf, печ. стр. 576–580</t>
        </is>
      </c>
      <c r="O3" s="31" t="inlineStr">
        <is>
          <t>Дилян Димитранов, Георги Димитров — съвпада.</t>
        </is>
      </c>
      <c r="P3" s="30" t="inlineStr">
        <is>
          <t>Claude (авт.)</t>
        </is>
      </c>
      <c r="Q3" s="30" t="inlineStr">
        <is>
          <t>28.08.2026</t>
        </is>
      </c>
    </row>
    <row r="4" ht="23.25" customHeight="1" s="22">
      <c r="A4" s="28" t="n">
        <v>3</v>
      </c>
      <c r="B4" s="49" t="n">
        <v>3</v>
      </c>
      <c r="C4" s="29" t="inlineStr">
        <is>
          <t>Е. Даскалова и кол. — платформа за обучение по дентална анатомия</t>
        </is>
      </c>
      <c r="D4" s="28" t="inlineStr">
        <is>
          <t>Доклад в сборник (BG)</t>
        </is>
      </c>
      <c r="E4" s="28" t="inlineStr">
        <is>
          <t>2026</t>
        </is>
      </c>
      <c r="F4" s="29" t="inlineStr">
        <is>
          <t>Същият сборник, с. 554–558</t>
        </is>
      </c>
      <c r="G4" s="29" t="inlineStr">
        <is>
          <t>2026_p-96.md</t>
        </is>
      </c>
      <c r="H4" s="48" t="inlineStr">
        <is>
          <t>https://www.conf-dte.bg/docs/2026/p-96.pdf</t>
        </is>
      </c>
      <c r="I4" s="29" t="inlineStr">
        <is>
          <t>Сборник; проверка на списъка от петима автори</t>
        </is>
      </c>
      <c r="J4" s="28" t="inlineStr">
        <is>
          <t>Среден</t>
        </is>
      </c>
      <c r="K4" s="29" t="inlineStr">
        <is>
          <t>Пет автора и точни страници — типично място за грешка при пренос.</t>
        </is>
      </c>
      <c r="L4" s="28">
        <f>COUNTIF('Ниво 2 Твърдения'!$C$2:$C$65,"*["&amp;A4&amp;"]*")</f>
        <v/>
      </c>
      <c r="M4" s="30" t="inlineStr">
        <is>
          <t>Потвърдено</t>
        </is>
      </c>
      <c r="N4" s="30" t="inlineStr">
        <is>
          <t>2026_p-96.pdf, печ. стр. 554–558</t>
        </is>
      </c>
      <c r="O4" s="31" t="inlineStr">
        <is>
          <t>Петимата автори съвпадат, вкл. Весела Стефанова.</t>
        </is>
      </c>
      <c r="P4" s="30" t="inlineStr">
        <is>
          <t>Claude (авт.)</t>
        </is>
      </c>
      <c r="Q4" s="30" t="inlineStr">
        <is>
          <t>28.08.2026</t>
        </is>
      </c>
    </row>
    <row r="5" ht="23.25" customHeight="1" s="22">
      <c r="A5" s="28" t="n">
        <v>4</v>
      </c>
      <c r="B5" s="49" t="n">
        <v>4</v>
      </c>
      <c r="C5" s="29" t="inlineStr">
        <is>
          <t>М. Дамесова — генеративен ИИ и дигитален storytelling</t>
        </is>
      </c>
      <c r="D5" s="28" t="inlineStr">
        <is>
          <t>Доклад в сборник (BG)</t>
        </is>
      </c>
      <c r="E5" s="28" t="inlineStr">
        <is>
          <t>2026</t>
        </is>
      </c>
      <c r="F5" s="29" t="inlineStr">
        <is>
          <t>Същият сборник, с. 717–721</t>
        </is>
      </c>
      <c r="G5" s="29" t="inlineStr">
        <is>
          <t>2026_p-124.md</t>
        </is>
      </c>
      <c r="H5" s="48" t="inlineStr">
        <is>
          <t>https://www.conf-dte.bg/docs/2026/p-124.pdf</t>
        </is>
      </c>
      <c r="I5" s="29" t="inlineStr">
        <is>
          <t>Сборник</t>
        </is>
      </c>
      <c r="J5" s="28" t="inlineStr">
        <is>
          <t>Среден</t>
        </is>
      </c>
      <c r="K5" s="29" t="inlineStr">
        <is>
          <t>Достъп.</t>
        </is>
      </c>
      <c r="L5" s="28">
        <f>COUNTIF('Ниво 2 Твърдения'!$C$2:$C$65,"*["&amp;A5&amp;"]*")</f>
        <v/>
      </c>
      <c r="M5" s="30" t="inlineStr">
        <is>
          <t>Потвърдено</t>
        </is>
      </c>
      <c r="N5" s="30" t="inlineStr">
        <is>
          <t>2026_p-124.pdf, печ. стр. 717–721</t>
        </is>
      </c>
      <c r="O5" s="31" t="inlineStr">
        <is>
          <t>Милена Дамесова — съвпада.</t>
        </is>
      </c>
      <c r="P5" s="30" t="inlineStr">
        <is>
          <t>Claude (авт.)</t>
        </is>
      </c>
      <c r="Q5" s="30" t="inlineStr">
        <is>
          <t>28.08.2026</t>
        </is>
      </c>
    </row>
    <row r="6" ht="23.25" customHeight="1" s="22">
      <c r="A6" s="28" t="n">
        <v>5</v>
      </c>
      <c r="B6" s="49" t="n">
        <v>5</v>
      </c>
      <c r="C6" s="29" t="inlineStr">
        <is>
          <t>М. Левунлиева — ИИ в образованието, перспективата на педагога</t>
        </is>
      </c>
      <c r="D6" s="28" t="inlineStr">
        <is>
          <t>Доклад в сборник (BG)</t>
        </is>
      </c>
      <c r="E6" s="28" t="inlineStr">
        <is>
          <t>2026</t>
        </is>
      </c>
      <c r="F6" s="29" t="inlineStr">
        <is>
          <t>Същият сборник, с. 605–610</t>
        </is>
      </c>
      <c r="G6" s="29" t="inlineStr">
        <is>
          <t>2026_p-106.md</t>
        </is>
      </c>
      <c r="H6" s="48" t="inlineStr">
        <is>
          <t>https://www.conf-dte.bg/docs/2026/p-106.pdf</t>
        </is>
      </c>
      <c r="I6" s="29" t="inlineStr">
        <is>
          <t>Сборник; проверка на извадката от 68 специалисти и на „трите оценъчни оси“</t>
        </is>
      </c>
      <c r="J6" s="32" t="inlineStr">
        <is>
          <t>Висок</t>
        </is>
      </c>
      <c r="K6" s="29" t="inlineStr">
        <is>
          <t>Емпирично твърдение с число и методика (ред 41).</t>
        </is>
      </c>
      <c r="L6" s="28">
        <f>COUNTIF('Ниво 2 Твърдения'!$C$2:$C$65,"*["&amp;A6&amp;"]*")</f>
        <v/>
      </c>
      <c r="M6" s="30" t="inlineStr">
        <is>
          <t>Потвърдено</t>
        </is>
      </c>
      <c r="N6" s="30" t="inlineStr">
        <is>
          <t>2026_p-106.pdf, печ. стр. 605–610</t>
        </is>
      </c>
      <c r="O6" s="31" t="inlineStr">
        <is>
          <t>Милена Левунлиева — съвпада.</t>
        </is>
      </c>
      <c r="P6" s="30" t="inlineStr">
        <is>
          <t>Claude (авт.)</t>
        </is>
      </c>
      <c r="Q6" s="30" t="inlineStr">
        <is>
          <t>28.08.2026</t>
        </is>
      </c>
    </row>
    <row r="7" ht="34.5" customHeight="1" s="22">
      <c r="A7" s="28" t="n">
        <v>6</v>
      </c>
      <c r="B7" s="49" t="n">
        <v>6</v>
      </c>
      <c r="C7" s="29" t="inlineStr">
        <is>
          <t>М. Маркова — ИИ за ускорено учене: практически инструменти</t>
        </is>
      </c>
      <c r="D7" s="28" t="inlineStr">
        <is>
          <t>Доклад в сборник (BG)</t>
        </is>
      </c>
      <c r="E7" s="28" t="inlineStr">
        <is>
          <t>2026</t>
        </is>
      </c>
      <c r="F7" s="29" t="inlineStr">
        <is>
          <t>Същият сборник, с. 541–546</t>
        </is>
      </c>
      <c r="G7" s="29" t="inlineStr">
        <is>
          <t>2026_p-94.md</t>
        </is>
      </c>
      <c r="H7" s="48" t="inlineStr">
        <is>
          <t>https://www.conf-dte.bg/docs/2026/p-94.pdf</t>
        </is>
      </c>
      <c r="I7" s="29" t="inlineStr">
        <is>
          <t>Сборник; проверка на диапазона 75–90 %</t>
        </is>
      </c>
      <c r="J7" s="33" t="inlineStr">
        <is>
          <t>Критичен</t>
        </is>
      </c>
      <c r="K7" s="29" t="inlineStr">
        <is>
          <t>Единственият източник за количествено твърдение, представено в текста в мн. ч. („публикувани описания“) — ред 31.</t>
        </is>
      </c>
      <c r="L7" s="28">
        <f>COUNTIF('Ниво 2 Твърдения'!$C$2:$C$65,"*["&amp;A7&amp;"]*")</f>
        <v/>
      </c>
      <c r="M7" s="30" t="inlineStr">
        <is>
          <t>Потвърдено</t>
        </is>
      </c>
      <c r="N7" s="30" t="inlineStr">
        <is>
          <t>2026_p-94.pdf, печ. стр. 541–546</t>
        </is>
      </c>
      <c r="O7" s="31" t="inlineStr">
        <is>
          <t>Мая Маркова — записът е верен. ВНИМАНИЕ: твърдението в ред 31 на Ниво 2 не се потвърждава.</t>
        </is>
      </c>
      <c r="P7" s="30" t="inlineStr">
        <is>
          <t>Claude (авт.)</t>
        </is>
      </c>
      <c r="Q7" s="30" t="inlineStr">
        <is>
          <t>28.08.2026</t>
        </is>
      </c>
    </row>
    <row r="8" ht="23.25" customHeight="1" s="22">
      <c r="A8" s="28" t="n">
        <v>7</v>
      </c>
      <c r="B8" s="49" t="n">
        <v>7</v>
      </c>
      <c r="C8" s="29" t="inlineStr">
        <is>
          <t>С. Гафтанджиева, Р. Донева — Генеративен ИИ в образованието</t>
        </is>
      </c>
      <c r="D8" s="28" t="inlineStr">
        <is>
          <t>Списание (BG)</t>
        </is>
      </c>
      <c r="E8" s="28" t="inlineStr">
        <is>
          <t>2025</t>
        </is>
      </c>
      <c r="F8" s="29" t="inlineStr">
        <is>
          <t>doi: 10.53656/ped2025-9.04; Педагогика, т. 97, кн. 9, с. 1284–1297</t>
        </is>
      </c>
      <c r="G8" s="29" t="inlineStr">
        <is>
          <t>generativen-...-reseniya.md</t>
        </is>
      </c>
      <c r="H8" s="48" t="inlineStr">
        <is>
          <t>https://journals.azbuki.bg/pedagogy/generativen-izkustven-intelekt-v-obrazovanieto-problemi-i-reseniya/view</t>
        </is>
      </c>
      <c r="I8" s="29" t="inlineStr">
        <is>
          <t>DOI резолвер; проверка на вторично цитираното число „една шеста“</t>
        </is>
      </c>
      <c r="J8" s="33" t="inlineStr">
        <is>
          <t>Критичен</t>
        </is>
      </c>
      <c r="K8" s="29" t="inlineStr">
        <is>
          <t>Числото е цитирано от друг източник — трябва проследяване до първоизточника (ред 61).</t>
        </is>
      </c>
      <c r="L8" s="28">
        <f>COUNTIF('Ниво 2 Твърдения'!$C$2:$C$65,"*["&amp;A8&amp;"]*")</f>
        <v/>
      </c>
      <c r="M8" s="30" t="inlineStr">
        <is>
          <t>Потвърдено</t>
        </is>
      </c>
      <c r="N8" s="30" t="inlineStr">
        <is>
          <t>печ. стр. 1284–1297; doi 10.53656/ped2025-9.04</t>
        </is>
      </c>
      <c r="O8" s="31" t="inlineStr">
        <is>
          <t>Педагогика, т. 97, кн. 9, 2025 — съвпада.</t>
        </is>
      </c>
      <c r="P8" s="30" t="inlineStr">
        <is>
          <t>Claude (авт.)</t>
        </is>
      </c>
      <c r="Q8" s="30" t="inlineStr">
        <is>
          <t>28.08.2026</t>
        </is>
      </c>
    </row>
    <row r="9" ht="34.5" customHeight="1" s="22">
      <c r="A9" s="28" t="n">
        <v>8</v>
      </c>
      <c r="B9" s="49" t="n">
        <v>8</v>
      </c>
      <c r="C9" s="29" t="inlineStr">
        <is>
          <t>Ц. Василев — ИИ в обучението: студент и преподавател</t>
        </is>
      </c>
      <c r="D9" s="28" t="inlineStr">
        <is>
          <t>Доклад в сборник (BG)</t>
        </is>
      </c>
      <c r="E9" s="28" t="inlineStr">
        <is>
          <t>2026</t>
        </is>
      </c>
      <c r="F9" s="29" t="inlineStr">
        <is>
          <t>Същият сборник, с. 24–32</t>
        </is>
      </c>
      <c r="G9" s="29" t="inlineStr">
        <is>
          <t>2026_p-3.md</t>
        </is>
      </c>
      <c r="H9" s="48" t="inlineStr">
        <is>
          <t>https://www.conf-dte.bg/docs/2026/p-3.pdf</t>
        </is>
      </c>
      <c r="I9" s="29" t="inlineStr">
        <is>
          <t>Сборник; проверка дали докладът наистина прави преглед на ~130 източника</t>
        </is>
      </c>
      <c r="J9" s="32" t="inlineStr">
        <is>
          <t>Висок</t>
        </is>
      </c>
      <c r="K9" s="29" t="inlineStr">
        <is>
          <t>Обзор на 130 източника в доклад от 9 страници е необичайно — ред 30.</t>
        </is>
      </c>
      <c r="L9" s="28">
        <f>COUNTIF('Ниво 2 Твърдения'!$C$2:$C$65,"*["&amp;A9&amp;"]*")</f>
        <v/>
      </c>
      <c r="M9" s="30" t="inlineStr">
        <is>
          <t>Потвърдено</t>
        </is>
      </c>
      <c r="N9" s="30" t="inlineStr">
        <is>
          <t>2026_p-3.pdf, печ. стр. 24–32</t>
        </is>
      </c>
      <c r="O9" s="31" t="inlineStr">
        <is>
          <t>Цветомир Василев — съвпада.</t>
        </is>
      </c>
      <c r="P9" s="30" t="inlineStr">
        <is>
          <t>Claude (авт.)</t>
        </is>
      </c>
      <c r="Q9" s="30" t="inlineStr">
        <is>
          <t>28.08.2026</t>
        </is>
      </c>
    </row>
    <row r="10" ht="23.25" customHeight="1" s="22">
      <c r="A10" s="28" t="n">
        <v>9</v>
      </c>
      <c r="B10" s="49" t="n">
        <v>9</v>
      </c>
      <c r="C10" s="29" t="inlineStr">
        <is>
          <t>Ц. Дуцова — аспекти на приложението на ИИ в образованието</t>
        </is>
      </c>
      <c r="D10" s="28" t="inlineStr">
        <is>
          <t>Доклад в сборник (BG)</t>
        </is>
      </c>
      <c r="E10" s="28" t="inlineStr">
        <is>
          <t>2025</t>
        </is>
      </c>
      <c r="F10" s="29" t="inlineStr">
        <is>
          <t>Трета конференция, Русе, с. 472–478</t>
        </is>
      </c>
      <c r="G10" s="29" t="inlineStr">
        <is>
          <t>2025_p-84.md</t>
        </is>
      </c>
      <c r="H10" s="48" t="inlineStr">
        <is>
          <t>https://www.conf-dte.bg/docs/2025/p-84.pdf</t>
        </is>
      </c>
      <c r="I10" s="29" t="inlineStr">
        <is>
          <t>Сборник</t>
        </is>
      </c>
      <c r="J10" s="28" t="inlineStr">
        <is>
          <t>Среден</t>
        </is>
      </c>
      <c r="K10" s="29" t="inlineStr">
        <is>
          <t>Достъп.</t>
        </is>
      </c>
      <c r="L10" s="28">
        <f>COUNTIF('Ниво 2 Твърдения'!$C$2:$C$65,"*["&amp;A10&amp;"]*")</f>
        <v/>
      </c>
      <c r="M10" s="30" t="inlineStr">
        <is>
          <t>Потвърдено</t>
        </is>
      </c>
      <c r="N10" s="30" t="inlineStr">
        <is>
          <t>2025_p-84.pdf, печ. стр. 472–478</t>
        </is>
      </c>
      <c r="O10" s="31" t="inlineStr">
        <is>
          <t>Цветанка Дуцова, Трета конференция 2025 — съвпада.</t>
        </is>
      </c>
      <c r="P10" s="30" t="inlineStr">
        <is>
          <t>Claude (авт.)</t>
        </is>
      </c>
      <c r="Q10" s="30" t="inlineStr">
        <is>
          <t>28.08.2026</t>
        </is>
      </c>
    </row>
    <row r="11" ht="45.75" customHeight="1" s="22">
      <c r="A11" s="28" t="n">
        <v>10</v>
      </c>
      <c r="B11" s="49" t="n">
        <v>10</v>
      </c>
      <c r="C11" s="29" t="inlineStr">
        <is>
          <t>„Challenges and recommendations for LLMs-as-a-judge in multilingual settings…“</t>
        </is>
      </c>
      <c r="D11" s="28" t="inlineStr">
        <is>
          <t>Препринт</t>
        </is>
      </c>
      <c r="E11" s="28" t="inlineStr">
        <is>
          <t>2026</t>
        </is>
      </c>
      <c r="F11" s="29" t="inlineStr">
        <is>
          <t>arXiv:2607.02235</t>
        </is>
      </c>
      <c r="G11" s="29" t="inlineStr">
        <is>
          <t>https://arxiv.org/html/2607.02235v1</t>
        </is>
      </c>
      <c r="H11" s="48" t="inlineStr">
        <is>
          <t>https://arxiv.org/html/2607.02235v1</t>
        </is>
      </c>
      <c r="I11" s="29" t="inlineStr">
        <is>
          <t>arxiv.org/abs/2607.02235 — първо съществуване, после авторство</t>
        </is>
      </c>
      <c r="J11" s="33" t="inlineStr">
        <is>
          <t>Критичен</t>
        </is>
      </c>
      <c r="K11" s="29" t="inlineStr">
        <is>
          <t>Записът е без автори — единственият такъв в списъка. Носи две числа (над 650 публикации, 33 изследвания) и подпира извод в „Изводи от първа глава“ (редове 60, 64).</t>
        </is>
      </c>
      <c r="L11" s="28">
        <f>COUNTIF('Ниво 2 Твърдения'!$C$2:$C$65,"*["&amp;A11&amp;"]*")</f>
        <v/>
      </c>
      <c r="M11" s="30" t="inlineStr">
        <is>
          <t>Потвърдено</t>
        </is>
      </c>
      <c r="N11" s="30" t="inlineStr">
        <is>
          <t>arXiv:2607.02235 — съществува</t>
        </is>
      </c>
      <c r="O11" s="31" t="inlineStr">
        <is>
          <t>Заглавието съвпада. Автори: A. S. Doğruöz, X. Liao, V. Blaschke, J. Prange, S. Li, D. I. Adelani и др. ДЕЙСТВИЕ: добави авторите — запис без автор е формално некоректен по IEEE. Числата 650/33 се потвърждават. || НАНЕСЕНО В НИП 28.08: добави „A. S. Doğruöz et al.“ пред заглавието.</t>
        </is>
      </c>
      <c r="P11" s="30" t="inlineStr">
        <is>
          <t>Claude (авт.)</t>
        </is>
      </c>
      <c r="Q11" s="30" t="inlineStr">
        <is>
          <t>28.08.2026</t>
        </is>
      </c>
    </row>
    <row r="12" ht="45.75" customHeight="1" s="22">
      <c r="A12" s="28" t="n">
        <v>11</v>
      </c>
      <c r="B12" s="49" t="n">
        <v>23</v>
      </c>
      <c r="C12" s="29" t="inlineStr">
        <is>
          <t>Angular Team — Angular versioning and releases</t>
        </is>
      </c>
      <c r="D12" s="28" t="inlineStr">
        <is>
          <t>Вендорска документация</t>
        </is>
      </c>
      <c r="E12" s="28" t="inlineStr">
        <is>
          <t>2026</t>
        </is>
      </c>
      <c r="F12" s="29" t="inlineStr">
        <is>
          <t>https://angular.dev/reference/releases</t>
        </is>
      </c>
      <c r="G12" s="29" t="inlineStr">
        <is>
          <t>https://angular.dev/reference/releases#release-frequency</t>
        </is>
      </c>
      <c r="H12" s="48" t="inlineStr">
        <is>
          <t>https://angular.dev/reference/releases#release-frequency</t>
        </is>
      </c>
      <c r="I12" s="29" t="inlineStr">
        <is>
          <t>Отваряне на страницата; проверка дали подкрепя общото твърдение</t>
        </is>
      </c>
      <c r="J12" s="33" t="inlineStr">
        <is>
          <t>Критичен</t>
        </is>
      </c>
      <c r="K12" s="29" t="inlineStr">
        <is>
          <t>Непрофилен източник в педагогически труд; използван за обобщение за „широко използвани софтуерни рамки“ въз основа на една рамка (ред 7). Обмисли замяна или отпадане.</t>
        </is>
      </c>
      <c r="L12" s="28">
        <f>COUNTIF('Ниво 2 Твърдения'!$C$2:$C$65,"*["&amp;A12&amp;"]*")</f>
        <v/>
      </c>
      <c r="M12" s="30" t="inlineStr">
        <is>
          <t>Потвърдено</t>
        </is>
      </c>
      <c r="N12" s="30" t="inlineStr">
        <is>
          <t>angular.dev/reference/releases || ОТПАДА. Заменя се с Zhang и кол. (2019/2021), „An Empirical Study of Obsolete Answers on Stack Overflow“, IEEE Transactions on Software Engineering, 47(4), 850–862, doi 10.1109/TSE.2019.2906315. Рецензирано изследване вместо вендорска документация.</t>
        </is>
      </c>
      <c r="O12" s="31" t="inlineStr">
        <is>
          <t>Страницата съществува, но казва ЕДНА мажорна версия на 12 месеца и 24 месеца поддръжка (12 активна + 12 LTS). Виж ред 7 на Ниво 2. || НАНЕСЕНО В НИП 28.08: връзката става https://angular.dev/reference/releases#release-frequency — разделът наистина доказва една мажорна версия годишно, но само за Angular.</t>
        </is>
      </c>
      <c r="P12" s="30" t="inlineStr">
        <is>
          <t>Claude (авт.)</t>
        </is>
      </c>
      <c r="Q12" s="30" t="inlineStr">
        <is>
          <t>28.08.2026</t>
        </is>
      </c>
    </row>
    <row r="13" ht="23.25" customHeight="1" s="22">
      <c r="A13" s="28" t="n">
        <v>12</v>
      </c>
      <c r="B13" s="49" t="n">
        <v>13</v>
      </c>
      <c r="C13" s="29" t="inlineStr">
        <is>
          <t>C. Redecker — DigCompEdu</t>
        </is>
      </c>
      <c r="D13" s="28" t="inlineStr">
        <is>
          <t>Рамков документ (ЕС)</t>
        </is>
      </c>
      <c r="E13" s="28" t="inlineStr">
        <is>
          <t>2017</t>
        </is>
      </c>
      <c r="F13" s="29" t="inlineStr">
        <is>
          <t>JRC107466, Publications Office of the EU</t>
        </is>
      </c>
      <c r="G13" s="29" t="inlineStr">
        <is>
          <t>https://joint-research-centre.ec.europa.eu/digcompedu_en</t>
        </is>
      </c>
      <c r="H13" s="48" t="inlineStr">
        <is>
          <t>https://joint-research-centre.ec.europa.eu/digcompedu_en</t>
        </is>
      </c>
      <c r="I13" s="29" t="inlineStr">
        <is>
          <t>Свободно достъпен PDF на JRC</t>
        </is>
      </c>
      <c r="J13" s="28" t="inlineStr">
        <is>
          <t>Нисък</t>
        </is>
      </c>
      <c r="K13" s="29" t="inlineStr">
        <is>
          <t>Стабилен източник; проверява се само номерацията на област 2.</t>
        </is>
      </c>
      <c r="L13" s="28">
        <f>COUNTIF('Ниво 2 Твърдения'!$C$2:$C$65,"*["&amp;A13&amp;"]*")</f>
        <v/>
      </c>
      <c r="M13" s="30" t="inlineStr">
        <is>
          <t>Потвърдено</t>
        </is>
      </c>
      <c r="N13" s="30" t="inlineStr">
        <is>
          <t>JRC107466, Publications Office of the EU, 2017</t>
        </is>
      </c>
      <c r="O13" s="31" t="inlineStr">
        <is>
          <t>Redecker, ред. Punie — съвпада.</t>
        </is>
      </c>
      <c r="P13" s="30" t="inlineStr">
        <is>
          <t>Claude (авт.)</t>
        </is>
      </c>
      <c r="Q13" s="30" t="inlineStr">
        <is>
          <t>28.08.2026</t>
        </is>
      </c>
    </row>
    <row r="14" ht="34.5" customHeight="1" s="22">
      <c r="A14" s="28" t="n">
        <v>13</v>
      </c>
      <c r="B14" s="49" t="n">
        <v>14</v>
      </c>
      <c r="C14" s="29" t="inlineStr">
        <is>
          <t>D. Li et al. — From generation to judgment: LLM-as-a-judge</t>
        </is>
      </c>
      <c r="D14" s="28" t="inlineStr">
        <is>
          <t>Конференция + препринт</t>
        </is>
      </c>
      <c r="E14" s="28" t="inlineStr">
        <is>
          <t>2025</t>
        </is>
      </c>
      <c r="F14" s="29" t="inlineStr">
        <is>
          <t>EMNLP 2025; arXiv:2411.16594</t>
        </is>
      </c>
      <c r="G14" s="29" t="inlineStr">
        <is>
          <t>https://aclanthology.org/2025.emnlp-main.138/</t>
        </is>
      </c>
      <c r="H14" s="48" t="inlineStr">
        <is>
          <t>https://aclanthology.org/2025.emnlp-main.138/</t>
        </is>
      </c>
      <c r="I14" s="29" t="inlineStr">
        <is>
          <t>arXiv + ACL Anthology; сверяване дали двете версии съвпадат</t>
        </is>
      </c>
      <c r="J14" s="28" t="inlineStr">
        <is>
          <t>Среден</t>
        </is>
      </c>
      <c r="K14" s="29" t="inlineStr">
        <is>
          <t>Цитира се и като доклад, и като препринт — да се провери коя версия носи твърденията (редове 58, 59, 62).</t>
        </is>
      </c>
      <c r="L14" s="28">
        <f>COUNTIF('Ниво 2 Твърдения'!$C$2:$C$65,"*["&amp;A14&amp;"]*")</f>
        <v/>
      </c>
      <c r="M14" s="30" t="inlineStr">
        <is>
          <t>Потвърдено</t>
        </is>
      </c>
      <c r="N14" s="30" t="inlineStr">
        <is>
          <t>aclanthology.org/2025.emnlp-main.138, с. 2757–2791</t>
        </is>
      </c>
      <c r="O14" s="31" t="inlineStr">
        <is>
          <t>DOI: 10.18653/v1/2025.emnlp-main.138. ДЕЙСТВИЕ: добави страници и DOI към записа. || НАНЕСЕНО В НИП 28.08: добави pp. 2757–2791 и doi: 10.18653/v1/2025.emnlp-main.138.</t>
        </is>
      </c>
      <c r="P14" s="30" t="inlineStr">
        <is>
          <t>Claude (авт.)</t>
        </is>
      </c>
      <c r="Q14" s="30" t="inlineStr">
        <is>
          <t>28.08.2026</t>
        </is>
      </c>
    </row>
    <row r="15" ht="23.25" customHeight="1" s="22">
      <c r="A15" s="28" t="n">
        <v>14</v>
      </c>
      <c r="B15" s="49" t="n">
        <v>15</v>
      </c>
      <c r="C15" s="29" t="inlineStr">
        <is>
          <t>D. S. Chai et al. — Generative AI in instructional system design</t>
        </is>
      </c>
      <c r="D15" s="28" t="inlineStr">
        <is>
          <t>Списание</t>
        </is>
      </c>
      <c r="E15" s="28" t="inlineStr">
        <is>
          <t>2025</t>
        </is>
      </c>
      <c r="F15" s="29" t="inlineStr">
        <is>
          <t>doi: 10.1177/15344843251320256</t>
        </is>
      </c>
      <c r="G15" s="29" t="inlineStr">
        <is>
          <t>https://api.openalex.org/works/doi:10.1177/15344843251320256</t>
        </is>
      </c>
      <c r="H15" s="48" t="inlineStr">
        <is>
          <t>https://api.openalex.org/works/doi:10.1177/15344843251320256</t>
        </is>
      </c>
      <c r="I15" s="29" t="inlineStr">
        <is>
          <t>DOI; проверка на броя 71 публикации</t>
        </is>
      </c>
      <c r="J15" s="32" t="inlineStr">
        <is>
          <t>Висок</t>
        </is>
      </c>
      <c r="K15" s="29" t="inlineStr">
        <is>
          <t>Число в текста (ред 26).</t>
        </is>
      </c>
      <c r="L15" s="28">
        <f>COUNTIF('Ниво 2 Твърдения'!$C$2:$C$65,"*["&amp;A15&amp;"]*")</f>
        <v/>
      </c>
      <c r="M15" s="30" t="inlineStr">
        <is>
          <t>Потвърдено</t>
        </is>
      </c>
      <c r="N15" s="30" t="inlineStr">
        <is>
          <t>HRDR, т. 24, кн. 4, с. 388–417, 2025</t>
        </is>
      </c>
      <c r="O15" s="31" t="inlineStr">
        <is>
          <t>Шестимата автори съвпадат. ДЕЙСТВИЕ: добави том, книжка и страници. || НАНЕСЕНО В НИП 28.08: добави vol. 24, no. 4, pp. 388–417.</t>
        </is>
      </c>
      <c r="P15" s="30" t="inlineStr">
        <is>
          <t>Claude (авт.)</t>
        </is>
      </c>
      <c r="Q15" s="30" t="inlineStr">
        <is>
          <t>28.08.2026</t>
        </is>
      </c>
    </row>
    <row r="16" ht="15" customHeight="1" s="22">
      <c r="A16" s="28" t="n">
        <v>15</v>
      </c>
      <c r="B16" s="49" t="n">
        <v>16</v>
      </c>
      <c r="C16" s="29" t="inlineStr">
        <is>
          <t>E. Dickey, A. Bejarano — GAIDE</t>
        </is>
      </c>
      <c r="D16" s="28" t="inlineStr">
        <is>
          <t>Конференция (IEEE)</t>
        </is>
      </c>
      <c r="E16" s="28" t="inlineStr">
        <is>
          <t>2024</t>
        </is>
      </c>
      <c r="F16" s="29" t="inlineStr">
        <is>
          <t>doi: 10.1109/FIE61694.2024.10893132</t>
        </is>
      </c>
      <c r="G16" s="29" t="inlineStr">
        <is>
          <t>https://api.openalex.org/works/doi:10.1109/fie61694.2024.10893132</t>
        </is>
      </c>
      <c r="H16" s="48" t="inlineStr">
        <is>
          <t>https://api.openalex.org/works/doi:10.1109/fie61694.2024.10893132</t>
        </is>
      </c>
      <c r="I16" s="29" t="inlineStr">
        <is>
          <t>IEEE Xplore</t>
        </is>
      </c>
      <c r="J16" s="28" t="inlineStr">
        <is>
          <t>Нисък</t>
        </is>
      </c>
      <c r="K16" s="29" t="inlineStr">
        <is>
          <t>Стандартен запис.</t>
        </is>
      </c>
      <c r="L16" s="28">
        <f>COUNTIF('Ниво 2 Твърдения'!$C$2:$C$65,"*["&amp;A16&amp;"]*")</f>
        <v/>
      </c>
      <c r="M16" s="30" t="inlineStr">
        <is>
          <t>Потвърдено</t>
        </is>
      </c>
      <c r="N16" s="30" t="inlineStr">
        <is>
          <t>Proc. 2024 IEEE FIE, с. 1–9</t>
        </is>
      </c>
      <c r="O16" s="31" t="inlineStr">
        <is>
          <t>Ethan Dickey, Andres Bejarano — точно съвпадение.</t>
        </is>
      </c>
      <c r="P16" s="30" t="inlineStr">
        <is>
          <t>Claude (авт.)</t>
        </is>
      </c>
      <c r="Q16" s="30" t="inlineStr">
        <is>
          <t>28.08.2026</t>
        </is>
      </c>
    </row>
    <row r="17" ht="34.5" customHeight="1" s="22">
      <c r="A17" s="28" t="n">
        <v>16</v>
      </c>
      <c r="B17" s="49" t="n">
        <v>17</v>
      </c>
      <c r="C17" s="29" t="inlineStr">
        <is>
          <t>E. Kasneci et al. — ChatGPT for good?</t>
        </is>
      </c>
      <c r="D17" s="28" t="inlineStr">
        <is>
          <t>Списание</t>
        </is>
      </c>
      <c r="E17" s="28" t="inlineStr">
        <is>
          <t>2023</t>
        </is>
      </c>
      <c r="F17" s="29" t="inlineStr">
        <is>
          <t>doi: 10.1016/j.lindif.2023.102274</t>
        </is>
      </c>
      <c r="G17" s="29" t="inlineStr">
        <is>
          <t>https://opus.bibliothek.uni-augsburg.de/opus4/files/109030/109030.pdf</t>
        </is>
      </c>
      <c r="H17" s="48" t="inlineStr">
        <is>
          <t>https://opus.bibliothek.uni-augsburg.de/opus4/files/109030/109030.pdf</t>
        </is>
      </c>
      <c r="I17" s="29" t="inlineStr">
        <is>
          <t>DOI; отворен достъп</t>
        </is>
      </c>
      <c r="J17" s="28" t="inlineStr">
        <is>
          <t>Среден</t>
        </is>
      </c>
      <c r="K17" s="29" t="inlineStr">
        <is>
          <t>Най-натовареният източник — 9 отделни твърдения, вкл. правни (GDPR, ред 52) и нормативни (ред 46). Риск от свръхприписване.</t>
        </is>
      </c>
      <c r="L17" s="28">
        <f>COUNTIF('Ниво 2 Твърдения'!$C$2:$C$65,"*["&amp;A17&amp;"]*")</f>
        <v/>
      </c>
      <c r="M17" s="30" t="inlineStr">
        <is>
          <t>Потвърдено</t>
        </is>
      </c>
      <c r="N17" s="30" t="inlineStr">
        <is>
          <t>Learning and Individual Differences, т. 103, чл. 102274, 2023</t>
        </is>
      </c>
      <c r="O17" s="31" t="inlineStr">
        <is>
          <t>23 автора, първи Kasneci — точно.</t>
        </is>
      </c>
      <c r="P17" s="30" t="inlineStr">
        <is>
          <t>Claude (авт.)</t>
        </is>
      </c>
      <c r="Q17" s="30" t="inlineStr">
        <is>
          <t>28.08.2026</t>
        </is>
      </c>
    </row>
    <row r="18" ht="23.25" customHeight="1" s="22">
      <c r="A18" s="28" t="n">
        <v>17</v>
      </c>
      <c r="B18" s="49" t="n">
        <v>18</v>
      </c>
      <c r="C18" s="29" t="inlineStr">
        <is>
          <t>E. Staneviciene, G. Žekienė — мултимедия във висшето образование</t>
        </is>
      </c>
      <c r="D18" s="28" t="inlineStr">
        <is>
          <t>Списание</t>
        </is>
      </c>
      <c r="E18" s="28" t="inlineStr">
        <is>
          <t>2025</t>
        </is>
      </c>
      <c r="F18" s="29" t="inlineStr">
        <is>
          <t>doi: 10.3390/su17198859</t>
        </is>
      </c>
      <c r="G18" s="29" t="inlineStr">
        <is>
          <t>https://api.openalex.org/works/doi:10.3390/su17198859</t>
        </is>
      </c>
      <c r="H18" s="48" t="inlineStr">
        <is>
          <t>https://api.openalex.org/works/doi:10.3390/su17198859</t>
        </is>
      </c>
      <c r="I18" s="29" t="inlineStr">
        <is>
          <t>DOI; отворен достъп (MDPI)</t>
        </is>
      </c>
      <c r="J18" s="28" t="inlineStr">
        <is>
          <t>Нисък</t>
        </is>
      </c>
      <c r="K18" s="29" t="inlineStr">
        <is>
          <t>Стандартен запис.</t>
        </is>
      </c>
      <c r="L18" s="28">
        <f>COUNTIF('Ниво 2 Твърдения'!$C$2:$C$65,"*["&amp;A18&amp;"]*")</f>
        <v/>
      </c>
      <c r="M18" s="30" t="inlineStr">
        <is>
          <t>Потвърдено</t>
        </is>
      </c>
      <c r="N18" s="30" t="inlineStr">
        <is>
          <t>Sustainability, т. 17, кн. 19, чл. 8859, 2025</t>
        </is>
      </c>
      <c r="O18" s="31" t="inlineStr">
        <is>
          <t>Evelina Staneviciene, Gintarė Žekienė — точно.</t>
        </is>
      </c>
      <c r="P18" s="30" t="inlineStr">
        <is>
          <t>Claude (авт.)</t>
        </is>
      </c>
      <c r="Q18" s="30" t="inlineStr">
        <is>
          <t>28.08.2026</t>
        </is>
      </c>
    </row>
    <row r="19" ht="23.25" customHeight="1" s="22">
      <c r="A19" s="28" t="n">
        <v>18</v>
      </c>
      <c r="B19" s="49" t="n">
        <v>19</v>
      </c>
      <c r="C19" s="29" t="inlineStr">
        <is>
          <t>F. Miao, W. Holmes — Guidance for Generative AI in Education and Research</t>
        </is>
      </c>
      <c r="D19" s="28" t="inlineStr">
        <is>
          <t>Документ на ЮНЕСКО</t>
        </is>
      </c>
      <c r="E19" s="28" t="inlineStr">
        <is>
          <t>2023</t>
        </is>
      </c>
      <c r="F19" s="29" t="inlineStr">
        <is>
          <t>unesco.org</t>
        </is>
      </c>
      <c r="G19" s="29" t="inlineStr">
        <is>
          <t>https://www.unesco.org/en/articles/guidance-generative-ai-education-and-research</t>
        </is>
      </c>
      <c r="H19" s="48" t="inlineStr">
        <is>
          <t>https://www.unesco.org/en/articles/guidance-generative-ai-education-and-research</t>
        </is>
      </c>
      <c r="I19" s="29" t="inlineStr">
        <is>
          <t>Сайт на ЮНЕСКО</t>
        </is>
      </c>
      <c r="J19" s="28" t="inlineStr">
        <is>
          <t>Нисък</t>
        </is>
      </c>
      <c r="K19" s="29" t="inlineStr">
        <is>
          <t>Проверява се само списъкът от мерки (ред 48).</t>
        </is>
      </c>
      <c r="L19" s="28">
        <f>COUNTIF('Ниво 2 Твърдения'!$C$2:$C$65,"*["&amp;A19&amp;"]*")</f>
        <v/>
      </c>
      <c r="M19" s="30" t="inlineStr">
        <is>
          <t>Потвърдено</t>
        </is>
      </c>
      <c r="N19" s="30" t="inlineStr">
        <is>
          <t>UNESCO, 2023</t>
        </is>
      </c>
      <c r="O19" s="31" t="inlineStr">
        <is>
          <t>Miao, Fengchun и Holmes, Wayne — точно.</t>
        </is>
      </c>
      <c r="P19" s="30" t="inlineStr">
        <is>
          <t>Claude (авт.)</t>
        </is>
      </c>
      <c r="Q19" s="30" t="inlineStr">
        <is>
          <t>28.08.2026</t>
        </is>
      </c>
    </row>
    <row r="20" ht="23.25" customHeight="1" s="22">
      <c r="A20" s="28" t="n">
        <v>19</v>
      </c>
      <c r="B20" s="49" t="n">
        <v>20</v>
      </c>
      <c r="C20" s="29" t="inlineStr">
        <is>
          <t>G. W. Choi et al. — SWOT анализ за генеративен ИИ в инструкционния дизайн</t>
        </is>
      </c>
      <c r="D20" s="28" t="inlineStr">
        <is>
          <t>Списание</t>
        </is>
      </c>
      <c r="E20" s="28" t="inlineStr">
        <is>
          <t>2024</t>
        </is>
      </c>
      <c r="F20" s="29" t="inlineStr">
        <is>
          <t>doi: 10.1007/s11528-024-00967-w</t>
        </is>
      </c>
      <c r="G20" s="29" t="inlineStr">
        <is>
          <t>https://api.openalex.org/works/doi:10.1007/s11528-024-00967-w</t>
        </is>
      </c>
      <c r="H20" s="48" t="inlineStr">
        <is>
          <t>https://api.openalex.org/works/doi:10.1007/s11528-024-00967-w</t>
        </is>
      </c>
      <c r="I20" s="29" t="inlineStr">
        <is>
          <t>DOI</t>
        </is>
      </c>
      <c r="J20" s="28" t="inlineStr">
        <is>
          <t>Нисък</t>
        </is>
      </c>
      <c r="K20" s="29" t="inlineStr">
        <is>
          <t>Стандартен запис; 4 твърдения.</t>
        </is>
      </c>
      <c r="L20" s="28">
        <f>COUNTIF('Ниво 2 Твърдения'!$C$2:$C$65,"*["&amp;A20&amp;"]*")</f>
        <v/>
      </c>
      <c r="M20" s="30" t="inlineStr">
        <is>
          <t>Потвърдено</t>
        </is>
      </c>
      <c r="N20" s="30" t="inlineStr">
        <is>
          <t>TechTrends, т. 68, кн. 4, с. 832–844, 2024</t>
        </is>
      </c>
      <c r="O20" s="31" t="inlineStr">
        <is>
          <t>G. W. Choi, S. H. Kim, D. Lee, J. Moon — точно.</t>
        </is>
      </c>
      <c r="P20" s="30" t="inlineStr">
        <is>
          <t>Claude (авт.)</t>
        </is>
      </c>
      <c r="Q20" s="30" t="inlineStr">
        <is>
          <t>28.08.2026</t>
        </is>
      </c>
    </row>
    <row r="21" ht="23.25" customHeight="1" s="22">
      <c r="A21" s="28" t="n">
        <v>20</v>
      </c>
      <c r="B21" s="49" t="n">
        <v>22</v>
      </c>
      <c r="C21" s="29" t="inlineStr">
        <is>
          <t>H. Yao et al. — Instructional Agents</t>
        </is>
      </c>
      <c r="D21" s="28" t="inlineStr">
        <is>
          <t>Конференция</t>
        </is>
      </c>
      <c r="E21" s="28" t="inlineStr">
        <is>
          <t>2026</t>
        </is>
      </c>
      <c r="F21" s="29" t="inlineStr">
        <is>
          <t>Proc. EACL 2026, т. 1, с. 4087–4109</t>
        </is>
      </c>
      <c r="G21" s="29" t="inlineStr">
        <is>
          <t>https://aclanthology.org/2026.eacl-long.191/</t>
        </is>
      </c>
      <c r="H21" s="48" t="inlineStr">
        <is>
          <t>https://aclanthology.org/2026.eacl-long.191/</t>
        </is>
      </c>
      <c r="I21" s="29" t="inlineStr">
        <is>
          <t>ACL Anthology</t>
        </is>
      </c>
      <c r="J21" s="32" t="inlineStr">
        <is>
          <t>Висок</t>
        </is>
      </c>
      <c r="K21" s="29" t="inlineStr">
        <is>
          <t>Публикация от 2026 г. с точни страници — потвърди, че томът е излязъл и че страниците съвпадат.</t>
        </is>
      </c>
      <c r="L21" s="28">
        <f>COUNTIF('Ниво 2 Твърдения'!$C$2:$C$65,"*["&amp;A21&amp;"]*")</f>
        <v/>
      </c>
      <c r="M21" s="30" t="inlineStr">
        <is>
          <t>Потвърдено</t>
        </is>
      </c>
      <c r="N21" s="30" t="inlineStr">
        <is>
          <t>aclanthology.org/2026.eacl-long.191, т. 1, с. 4087–4109</t>
        </is>
      </c>
      <c r="O21" s="31" t="inlineStr">
        <is>
          <t>Съществува. Автори H. Yao, W. Xu, J. Turnau, N. Kellam, H. Wei; страниците съвпадат. DOI: 10.18653/v1/2026.eacl-long.191 — ДЕЙСТВИЕ: добави го. || НАНЕСЕНО В НИП 28.08: добави doi: 10.18653/v1/2026.eacl-long.191.</t>
        </is>
      </c>
      <c r="P21" s="30" t="inlineStr">
        <is>
          <t>Claude (авт.)</t>
        </is>
      </c>
      <c r="Q21" s="30" t="inlineStr">
        <is>
          <t>28.08.2026</t>
        </is>
      </c>
    </row>
    <row r="22" ht="23.25" customHeight="1" s="22">
      <c r="A22" s="28" t="n">
        <v>21</v>
      </c>
      <c r="B22" s="49" t="inlineStr">
        <is>
          <t>ОТПАДА</t>
        </is>
      </c>
      <c r="C22" s="29" t="inlineStr">
        <is>
          <t>I. du Preez, L. Jacobs — принципи за онлайн учебни материали</t>
        </is>
      </c>
      <c r="D22" s="28" t="inlineStr">
        <is>
          <t>Списание</t>
        </is>
      </c>
      <c r="E22" s="28" t="inlineStr">
        <is>
          <t>2025</t>
        </is>
      </c>
      <c r="F22" s="29" t="inlineStr">
        <is>
          <t>doi: 10.1080/10494820.2025.2523390</t>
        </is>
      </c>
      <c r="G22" s="29" t="inlineStr">
        <is>
          <t>https://api.openalex.org/works/doi:10.1080/10494820.2025.2523390</t>
        </is>
      </c>
      <c r="H22" s="48" t="inlineStr">
        <is>
          <t>https://api.openalex.org/works/doi:10.1080/10494820.2025.2523390</t>
        </is>
      </c>
      <c r="I22" s="29" t="inlineStr">
        <is>
          <t>DOI</t>
        </is>
      </c>
      <c r="J22" s="28" t="inlineStr">
        <is>
          <t>Среден</t>
        </is>
      </c>
      <c r="K22" s="29" t="inlineStr">
        <is>
          <t>Записът е без том и книжка, само страници — непълен по IEEE.</t>
        </is>
      </c>
      <c r="L22" s="28">
        <f>COUNTIF('Ниво 2 Твърдения'!$C$2:$C$65,"*["&amp;A22&amp;"]*")</f>
        <v/>
      </c>
      <c r="M22" s="30" t="inlineStr">
        <is>
          <t>Потвърдено</t>
        </is>
      </c>
      <c r="N22" s="30" t="inlineStr">
        <is>
          <t>Interactive Learning Environments, т. 34, кн. 3, с. 1435–1451, 2025 || НЯМА ДОСТЪП. ПРЕПОРЪКА: отпада. Ред 15 се пренасочва към [29] Quality Matters, който вече е потвърден (8 общи и 44 конкретни стандарта) и е точно „проверими насоки за дизайн и оценяване“. Ред 54 остава на Mayer 2021.</t>
        </is>
      </c>
      <c r="O22" s="31" t="inlineStr">
        <is>
          <t>ДЕЙСТВИЕ: добави том и книжка — записът беше непълен. || НАНЕСЕНО В НИП 28.08: добави vol. 34, no. 3.</t>
        </is>
      </c>
      <c r="P22" s="30" t="inlineStr">
        <is>
          <t>Claude (авт.)</t>
        </is>
      </c>
      <c r="Q22" s="30" t="inlineStr">
        <is>
          <t>28.08.2026</t>
        </is>
      </c>
    </row>
    <row r="23" ht="45.75" customHeight="1" s="22">
      <c r="A23" s="28" t="n">
        <v>22</v>
      </c>
      <c r="B23" s="49" t="n">
        <v>24</v>
      </c>
      <c r="C23" s="29" t="inlineStr">
        <is>
          <t>IEEE Standard for Learning Object Metadata</t>
        </is>
      </c>
      <c r="D23" s="28" t="inlineStr">
        <is>
          <t>Стандарт</t>
        </is>
      </c>
      <c r="E23" s="28" t="inlineStr">
        <is>
          <t>2020</t>
        </is>
      </c>
      <c r="F23" s="29" t="inlineStr">
        <is>
          <t>IEEE Std 1484.12.1-2020</t>
        </is>
      </c>
      <c r="G23" s="29" t="inlineStr">
        <is>
          <t>https://ieeexplore.ieee.org/document/9262118/</t>
        </is>
      </c>
      <c r="H23" s="48" t="inlineStr">
        <is>
          <t>https://ieeexplore.ieee.org/document/9262118/</t>
        </is>
      </c>
      <c r="I23" s="29" t="inlineStr">
        <is>
          <t>IEEE SA; проверка на броя категории в ревизията от 2020 г.</t>
        </is>
      </c>
      <c r="J23" s="33" t="inlineStr">
        <is>
          <t>Критичен</t>
        </is>
      </c>
      <c r="K23" s="29" t="inlineStr">
        <is>
          <t>Твърдението за „девет категории“ произхожда от версията от 2002 г. Ревизията от 2020 г. има променена структура — ред 6 може да е верен за грешното издание.</t>
        </is>
      </c>
      <c r="L23" s="28">
        <f>COUNTIF('Ниво 2 Твърдения'!$C$2:$C$65,"*["&amp;A23&amp;"]*")</f>
        <v/>
      </c>
      <c r="M23" s="30" t="inlineStr">
        <is>
          <t>Потвърдено</t>
        </is>
      </c>
      <c r="N23" s="30" t="inlineStr">
        <is>
          <t>IEEE Std 1484.12.1-2020 || НЯМА ДОСТЪП. ПРЕПОРЪКА: твърдението за деветте категории и четирите признака на Educational категорията не бива да стои без прочетен стандарт. Или се търси свободен източник, който описва схемата, или изречението се свежда до съществуването на международен стандарт за метаданни без изброяване на съдържанието му. || РЕШЕНО: съдържанието е потвърдено през свободното ръководство на 1EdTech/IMS за LOM v1.3. Записът трябва да сочи версията, която наистина е проверена.</t>
        </is>
      </c>
      <c r="O23" s="31" t="inlineStr">
        <is>
          <t>ОТМЕНЯМ по-ранното предупреждение: деветте категории от първо ниво важат и за ревизията от 2020 г. Остава да се провери съдържанието на Educational категорията (Ниво 2, ред 6).</t>
        </is>
      </c>
      <c r="P23" s="30" t="inlineStr">
        <is>
          <t>Claude (авт.)</t>
        </is>
      </c>
      <c r="Q23" s="30" t="inlineStr">
        <is>
          <t>28.08.2026</t>
        </is>
      </c>
    </row>
    <row r="24" ht="23.25" customHeight="1" s="22">
      <c r="A24" s="28" t="n">
        <v>23</v>
      </c>
      <c r="B24" s="49" t="n">
        <v>25</v>
      </c>
      <c r="C24" s="29" t="inlineStr">
        <is>
          <t>J. Biggs, C. Tang, G. Kennedy — Teaching for Quality Learning at University</t>
        </is>
      </c>
      <c r="D24" s="28" t="inlineStr">
        <is>
          <t>Книга</t>
        </is>
      </c>
      <c r="E24" s="28" t="inlineStr">
        <is>
          <t>2022</t>
        </is>
      </c>
      <c r="F24" s="29" t="inlineStr">
        <is>
          <t>5-о изд., Open University Press</t>
        </is>
      </c>
      <c r="G24" s="29" t="inlineStr">
        <is>
          <t>https://www.mheducation.co.uk/teaching-for-quality-learning-at-university-5e-9780335250820-emea-group</t>
        </is>
      </c>
      <c r="H24" s="48" t="inlineStr">
        <is>
          <t>https://www.mheducation.co.uk/teaching-for-quality-learning-at-university-5e-9780335250820-emea-group</t>
        </is>
      </c>
      <c r="I24" s="29" t="inlineStr">
        <is>
          <t>Каталог на издателя/ISBN</t>
        </is>
      </c>
      <c r="J24" s="28" t="inlineStr">
        <is>
          <t>Среден</t>
        </is>
      </c>
      <c r="K24" s="29" t="inlineStr">
        <is>
          <t>Провери годината, изданието и състава на авторите за 5-о изд.</t>
        </is>
      </c>
      <c r="L24" s="28">
        <f>COUNTIF('Ниво 2 Твърдения'!$C$2:$C$65,"*["&amp;A24&amp;"]*")</f>
        <v/>
      </c>
      <c r="M24" s="30" t="inlineStr">
        <is>
          <t>Потвърдено</t>
        </is>
      </c>
      <c r="N24" s="30" t="inlineStr">
        <is>
          <t>ISBN 9780335250820, McGraw Hill / Open University Press || НЯМА ДОСТЪП. ПРЕПОРЪКА: замяна с първоизточника на конструктивното съгласуване — Biggs, J. (1996). „Enhancing teaching through constructive alignment.“ Higher Education, 32(3), 347–364. Статия, не учебник, намира се далеч по-лесно. || ПРОВЕРЕН СВАЛЕНИЯТ ФАЙЛ: Enhancing_Teaching_Through_Constructive_Alignment.pdf е ПРЕЗЕНТАЦИЯ на PowerPoint от 2009 г. („Slide 1“, Acrobat PDFMaker for PowerPoint), 2332 думи слайдов текст, без резюме и без списък с литература. НЕ Е годна за цитиране в научен труд. Търси се статията Biggs (1996), Higher Education, 32(3), 347–364. || РЕШЕНО: свален е правилният файл Biggs1996_Article_EnhancingTeachingThroughConstr.pdf, Higher Education 32: 347–364. Учебникът от 2022 г. отпада.</t>
        </is>
      </c>
      <c r="O24" s="31" t="inlineStr">
        <is>
          <t>5-о изд., Biggs, Tang, Kennedy. Годината 2022 да се сверя в каталога на издателя при финалната редакция.</t>
        </is>
      </c>
      <c r="P24" s="30" t="inlineStr">
        <is>
          <t>Claude (авт.)</t>
        </is>
      </c>
      <c r="Q24" s="30" t="inlineStr">
        <is>
          <t>28.08.2026</t>
        </is>
      </c>
    </row>
    <row r="25" ht="34.5" customHeight="1" s="22">
      <c r="A25" s="28" t="n">
        <v>24</v>
      </c>
      <c r="B25" s="49" t="n">
        <v>26</v>
      </c>
      <c r="C25" s="29" t="inlineStr">
        <is>
          <t>J. Sweller, J. van Merriënboer, F. Paas — Cognitive architecture… 20 years later</t>
        </is>
      </c>
      <c r="D25" s="28" t="inlineStr">
        <is>
          <t>Списание</t>
        </is>
      </c>
      <c r="E25" s="28" t="inlineStr">
        <is>
          <t>2019</t>
        </is>
      </c>
      <c r="F25" s="29" t="inlineStr">
        <is>
          <t>doi: 10.1007/s10648-019-09465-5</t>
        </is>
      </c>
      <c r="G25" s="29" t="inlineStr">
        <is>
          <t>https://api.openalex.org/works/doi:10.1007/s10648-019-09465-5</t>
        </is>
      </c>
      <c r="H25" s="48" t="inlineStr">
        <is>
          <t>https://api.openalex.org/works/doi:10.1007/s10648-019-09465-5</t>
        </is>
      </c>
      <c r="I25" s="29" t="inlineStr">
        <is>
          <t>DOI</t>
        </is>
      </c>
      <c r="J25" s="32" t="inlineStr">
        <is>
          <t>Висок</t>
        </is>
      </c>
      <c r="K25" s="29" t="inlineStr">
        <is>
          <t>В тази статия авторите ревизират схващането за „полезно натоварване“ — формулировката в ред 11 трябва да съвпадне с ревизираната.</t>
        </is>
      </c>
      <c r="L25" s="28">
        <f>COUNTIF('Ниво 2 Твърдения'!$C$2:$C$65,"*["&amp;A25&amp;"]*")</f>
        <v/>
      </c>
      <c r="M25" s="30" t="inlineStr">
        <is>
          <t>Потвърдено</t>
        </is>
      </c>
      <c r="N25" s="30" t="inlineStr">
        <is>
          <t>Educational Psychology Review, т. 31, кн. 2, с. 261–292, 2019</t>
        </is>
      </c>
      <c r="O25" s="31" t="inlineStr">
        <is>
          <t>Точно съвпадение.</t>
        </is>
      </c>
      <c r="P25" s="30" t="inlineStr">
        <is>
          <t>Claude (авт.)</t>
        </is>
      </c>
      <c r="Q25" s="30" t="inlineStr">
        <is>
          <t>28.08.2026</t>
        </is>
      </c>
    </row>
    <row r="26" ht="23.25" customHeight="1" s="22">
      <c r="A26" s="28" t="n">
        <v>25</v>
      </c>
      <c r="B26" s="49" t="n">
        <v>27</v>
      </c>
      <c r="C26" s="29" t="inlineStr">
        <is>
          <t>L. Huang et al. — A survey on hallucination in LLMs</t>
        </is>
      </c>
      <c r="D26" s="28" t="inlineStr">
        <is>
          <t>Списание</t>
        </is>
      </c>
      <c r="E26" s="28" t="inlineStr">
        <is>
          <t>2025</t>
        </is>
      </c>
      <c r="F26" s="29" t="inlineStr">
        <is>
          <t>doi: 10.1145/3703155</t>
        </is>
      </c>
      <c r="G26" s="29" t="inlineStr">
        <is>
          <t>https://arxiv.org/abs/2311.05232</t>
        </is>
      </c>
      <c r="H26" s="48" t="inlineStr">
        <is>
          <t>https://arxiv.org/abs/2311.05232</t>
        </is>
      </c>
      <c r="I26" s="29" t="inlineStr">
        <is>
          <t>DOI</t>
        </is>
      </c>
      <c r="J26" s="28" t="inlineStr">
        <is>
          <t>Среден</t>
        </is>
      </c>
      <c r="K26" s="29" t="inlineStr">
        <is>
          <t>Терминологична точност — „фактологични“ vs „faithfulness“ халюцинации (ред 22).</t>
        </is>
      </c>
      <c r="L26" s="28">
        <f>COUNTIF('Ниво 2 Твърдения'!$C$2:$C$65,"*["&amp;A26&amp;"]*")</f>
        <v/>
      </c>
      <c r="M26" s="30" t="inlineStr">
        <is>
          <t>Потвърдено</t>
        </is>
      </c>
      <c r="N26" s="30" t="inlineStr">
        <is>
          <t>ACM TOIS, т. 43, кн. 2, с. 1–55</t>
        </is>
      </c>
      <c r="O26" s="31" t="inlineStr">
        <is>
          <t>Онлайн 2024, книжка 2025 — годината 2025 в записа е защитима.</t>
        </is>
      </c>
      <c r="P26" s="30" t="inlineStr">
        <is>
          <t>Claude (авт.)</t>
        </is>
      </c>
      <c r="Q26" s="30" t="inlineStr">
        <is>
          <t>28.08.2026</t>
        </is>
      </c>
    </row>
    <row r="27" ht="34.5" customHeight="1" s="22">
      <c r="A27" s="28" t="n">
        <v>26</v>
      </c>
      <c r="B27" s="49" t="n">
        <v>28</v>
      </c>
      <c r="C27" s="29" t="inlineStr">
        <is>
          <t>L. Zheng et al. — Judging LLM-as-a-judge with MT-Bench and Chatbot Arena</t>
        </is>
      </c>
      <c r="D27" s="28" t="inlineStr">
        <is>
          <t>Конференция</t>
        </is>
      </c>
      <c r="E27" s="28" t="inlineStr">
        <is>
          <t>2023</t>
        </is>
      </c>
      <c r="F27" s="29" t="inlineStr">
        <is>
          <t>NeurIPS 2023 D&amp;B; arXiv:2306.05685</t>
        </is>
      </c>
      <c r="G27" s="29" t="inlineStr">
        <is>
          <t>https://arxiv.org/html/2306.05685v4</t>
        </is>
      </c>
      <c r="H27" s="48" t="inlineStr">
        <is>
          <t>https://arxiv.org/html/2306.05685v4</t>
        </is>
      </c>
      <c r="I27" s="29" t="inlineStr">
        <is>
          <t>arXiv</t>
        </is>
      </c>
      <c r="J27" s="33" t="inlineStr">
        <is>
          <t>Критичен</t>
        </is>
      </c>
      <c r="K27" s="29" t="inlineStr">
        <is>
          <t>Носи три процента (над 80, ~85, ~81), които се появяват два пъти в текста (редове 57 и 63) и трябва да съвпадат помежду си.</t>
        </is>
      </c>
      <c r="L27" s="28">
        <f>COUNTIF('Ниво 2 Твърдения'!$C$2:$C$65,"*["&amp;A27&amp;"]*")</f>
        <v/>
      </c>
      <c r="M27" s="30" t="inlineStr">
        <is>
          <t>Потвърдено</t>
        </is>
      </c>
      <c r="N27" s="30" t="inlineStr">
        <is>
          <t>arXiv:2306.05685, NeurIPS 2023 D&amp;B</t>
        </is>
      </c>
      <c r="O27" s="31" t="inlineStr">
        <is>
          <t>13 автора, първи Lianmin Zheng — точно.</t>
        </is>
      </c>
      <c r="P27" s="30" t="inlineStr">
        <is>
          <t>Claude (авт.)</t>
        </is>
      </c>
      <c r="Q27" s="30" t="inlineStr">
        <is>
          <t>28.08.2026</t>
        </is>
      </c>
    </row>
    <row r="28" ht="23.25" customHeight="1" s="22">
      <c r="A28" s="28" t="n">
        <v>27</v>
      </c>
      <c r="B28" s="49" t="n">
        <v>29</v>
      </c>
      <c r="C28" s="29" t="inlineStr">
        <is>
          <t>M. D. Merrill — First principles of instruction</t>
        </is>
      </c>
      <c r="D28" s="28" t="inlineStr">
        <is>
          <t>Списание</t>
        </is>
      </c>
      <c r="E28" s="28" t="inlineStr">
        <is>
          <t>2002</t>
        </is>
      </c>
      <c r="F28" s="29" t="inlineStr">
        <is>
          <t>doi: 10.1007/BF02505024; т. 50, кн. 3, с. 43–59</t>
        </is>
      </c>
      <c r="G28" s="29" t="inlineStr">
        <is>
          <t>https://api.openalex.org/works/doi:10.1007/bf02505024</t>
        </is>
      </c>
      <c r="H28" s="48" t="inlineStr">
        <is>
          <t>https://api.openalex.org/works/doi:10.1007/bf02505024</t>
        </is>
      </c>
      <c r="I28" s="29" t="inlineStr">
        <is>
          <t>DOI</t>
        </is>
      </c>
      <c r="J28" s="32" t="inlineStr">
        <is>
          <t>Висок</t>
        </is>
      </c>
      <c r="K28" s="29" t="inlineStr">
        <is>
          <t>Локаторът „с. 44–45“ не е проверим — няма достъп до пълния текст. 31.08.2026: локаторът е премахнат от текста; цитира се цялата статия (с. 43–59), която изцяло е посветена на петте принципа.</t>
        </is>
      </c>
      <c r="L28" s="28">
        <f>COUNTIF('Ниво 2 Твърдения'!$C$2:$C$65,"*["&amp;A28&amp;"]*")</f>
        <v/>
      </c>
      <c r="M28" s="30" t="inlineStr">
        <is>
          <t>Потвърдено (ниво на статия)</t>
        </is>
      </c>
      <c r="N28" s="30" t="inlineStr">
        <is>
          <t>ETR&amp;D, т. 50, кн. 3, с. 43–59, 2002</t>
        </is>
      </c>
      <c r="O28" s="31" t="inlineStr">
        <is>
          <t>Точно съвпадение. Локаторът с. 44–45 остава за Ниво 2.</t>
        </is>
      </c>
      <c r="P28" s="30" t="inlineStr">
        <is>
          <t>Claude (авт.)</t>
        </is>
      </c>
      <c r="Q28" s="30" t="inlineStr">
        <is>
          <t>28.08.2026</t>
        </is>
      </c>
    </row>
    <row r="29" ht="23.25" customHeight="1" s="22">
      <c r="A29" s="28" t="n">
        <v>28</v>
      </c>
      <c r="B29" s="49" t="n">
        <v>31</v>
      </c>
      <c r="C29" s="29" t="inlineStr">
        <is>
          <t>O. Zawacki-Richter et al. — Systematic review of AI in higher education</t>
        </is>
      </c>
      <c r="D29" s="28" t="inlineStr">
        <is>
          <t>Списание</t>
        </is>
      </c>
      <c r="E29" s="28" t="inlineStr">
        <is>
          <t>2019</t>
        </is>
      </c>
      <c r="F29" s="29" t="inlineStr">
        <is>
          <t>doi: 10.1186/s41239-019-0171-0</t>
        </is>
      </c>
      <c r="G29" s="29" t="inlineStr">
        <is>
          <t>https://link.springer.com/article/10.1186/s41239-019-0171-0</t>
        </is>
      </c>
      <c r="H29" s="48" t="inlineStr">
        <is>
          <t>https://link.springer.com/article/10.1186/s41239-019-0171-0</t>
        </is>
      </c>
      <c r="I29" s="29" t="inlineStr">
        <is>
          <t>DOI; отворен достъп</t>
        </is>
      </c>
      <c r="J29" s="28" t="inlineStr">
        <is>
          <t>Среден</t>
        </is>
      </c>
      <c r="K29" s="29" t="inlineStr">
        <is>
          <t>Периодът 2007–2018 и изводът за участието на педагози (ред 35).</t>
        </is>
      </c>
      <c r="L29" s="28">
        <f>COUNTIF('Ниво 2 Твърдения'!$C$2:$C$65,"*["&amp;A29&amp;"]*")</f>
        <v/>
      </c>
      <c r="M29" s="30" t="inlineStr">
        <is>
          <t>Потвърдено</t>
        </is>
      </c>
      <c r="N29" s="30" t="inlineStr">
        <is>
          <t>IJETHE, т. 16, чл. 39, 2019</t>
        </is>
      </c>
      <c r="O29" s="31" t="inlineStr">
        <is>
          <t>Четиримата автори съвпадат. Периодът 2007–2018 е потвърден (146 от 2656 публикации).</t>
        </is>
      </c>
      <c r="P29" s="30" t="inlineStr">
        <is>
          <t>Claude (авт.)</t>
        </is>
      </c>
      <c r="Q29" s="30" t="inlineStr">
        <is>
          <t>28.08.2026</t>
        </is>
      </c>
    </row>
    <row r="30" ht="23.25" customHeight="1" s="22">
      <c r="A30" s="28" t="n">
        <v>29</v>
      </c>
      <c r="B30" s="49" t="n">
        <v>32</v>
      </c>
      <c r="C30" s="29" t="inlineStr">
        <is>
          <t>Quality Matters — QM Higher Education Rubric, 7-о изд.</t>
        </is>
      </c>
      <c r="D30" s="28" t="inlineStr">
        <is>
          <t>Рубрика/стандарт</t>
        </is>
      </c>
      <c r="E30" s="28" t="inlineStr">
        <is>
          <t>2023</t>
        </is>
      </c>
      <c r="F30" s="29" t="inlineStr">
        <is>
          <t>qualitymatters.org</t>
        </is>
      </c>
      <c r="G30" s="29" t="inlineStr">
        <is>
          <t>https://educationaldevelopment.uams.edu/qualitymatters/qm-rubric</t>
        </is>
      </c>
      <c r="H30" s="48" t="inlineStr">
        <is>
          <t>https://educationaldevelopment.uams.edu/qualitymatters/qm-rubric</t>
        </is>
      </c>
      <c r="I30" s="29" t="inlineStr">
        <is>
          <t>Сайт на QM; официално описание на 7-о издание</t>
        </is>
      </c>
      <c r="J30" s="33" t="inlineStr">
        <is>
          <t>Критичен</t>
        </is>
      </c>
      <c r="K30" s="29" t="inlineStr">
        <is>
          <t>Числата „8 общи и 44 конкретни стандарта“ се менят между изданията (в 6-о изд. са 42) — ред 55.</t>
        </is>
      </c>
      <c r="L30" s="28">
        <f>COUNTIF('Ниво 2 Твърдения'!$C$2:$C$65,"*["&amp;A30&amp;"]*")</f>
        <v/>
      </c>
      <c r="M30" s="30" t="inlineStr">
        <is>
          <t>Потвърдено</t>
        </is>
      </c>
      <c r="N30" s="30" t="inlineStr">
        <is>
          <t>QM HE Rubric, 7-о изд.</t>
        </is>
      </c>
      <c r="O30" s="31" t="inlineStr">
        <is>
          <t>Потвърдено: 8 общи и 44 конкретни ревизионни стандарта. Виж ред 55.</t>
        </is>
      </c>
      <c r="P30" s="30" t="inlineStr">
        <is>
          <t>Claude (авт.)</t>
        </is>
      </c>
      <c r="Q30" s="30" t="inlineStr">
        <is>
          <t>28.08.2026</t>
        </is>
      </c>
    </row>
    <row r="31" ht="45.75" customHeight="1" s="22">
      <c r="A31" s="34" t="n">
        <v>30</v>
      </c>
      <c r="B31" s="49" t="inlineStr">
        <is>
          <t>ОТПАДА</t>
        </is>
      </c>
      <c r="C31" s="35" t="inlineStr">
        <is>
          <t>R. C. Clark, R. E. Mayer — e-Learning and the Science of Instruction</t>
        </is>
      </c>
      <c r="D31" s="34" t="inlineStr">
        <is>
          <t>Книга</t>
        </is>
      </c>
      <c r="E31" s="34" t="inlineStr">
        <is>
          <t>2024</t>
        </is>
      </c>
      <c r="F31" s="35" t="inlineStr">
        <is>
          <t>5-о изд., Wiley</t>
        </is>
      </c>
      <c r="G31" s="35" t="inlineStr">
        <is>
          <t>https://www.harvard.com/book/9781394177370</t>
        </is>
      </c>
      <c r="H31" s="48" t="inlineStr">
        <is>
          <t>https://www.harvard.com/book/9781394177370</t>
        </is>
      </c>
      <c r="I31" s="35" t="inlineStr">
        <is>
          <t>Каталог на Wiley; съдържание на изданието</t>
        </is>
      </c>
      <c r="J31" s="36" t="inlineStr">
        <is>
          <t>Критичен</t>
        </is>
      </c>
      <c r="K31" s="35" t="inlineStr">
        <is>
          <t>Втори по натовареност източник — 5 твърдения с локатори по глави (1, 4, 9, 12, 13, 21). Провери и годината на 5-о изд., и че номерата на главите отговарят на това издание.</t>
        </is>
      </c>
      <c r="L31" s="34">
        <f>COUNTIF('Ниво 2 Твърдения'!$C$2:$C$65,"*["&amp;A31&amp;"]*")</f>
        <v/>
      </c>
      <c r="M31" s="34" t="inlineStr">
        <is>
          <t>Не се потвърждава</t>
        </is>
      </c>
      <c r="N31" s="34" t="inlineStr">
        <is>
          <t>Wiley, 5-о изд., ISBN 9781394177370 — 12.12.2023 г. || ПРОВЕРЕНА ЗАМЯНА (отхвърлена): scirp.org/pdf/psych_2023051914322531.pdf се оказва „Online Learning: A Cognitive Tool for Learning…“, A. Fenteng, сп. Psychology (SCIRP), 2023, doi 10.4236/psych.2023.145036. Друга тема, друг автор, не съдържа принципите на мултимедийното учене. НЕ Е годна замяна на Clark &amp; Mayer.</t>
        </is>
      </c>
      <c r="O31" s="35" t="inlineStr">
        <is>
          <t>ГРЕШКА В ЗАПИСА: 5-о издание е публикувано на 12 декември 2023 г., не 2024. ДЕЙСТВИЕ: поправи годината на 2023 във всички препратки. || НАНЕСЕНО В НИП 28.08: годината става 2023.</t>
        </is>
      </c>
      <c r="P31" s="34" t="inlineStr">
        <is>
          <t>Claude (авт.)</t>
        </is>
      </c>
      <c r="Q31" s="34" t="inlineStr">
        <is>
          <t>28.08.2026</t>
        </is>
      </c>
    </row>
    <row r="32" ht="34.5" customHeight="1" s="22">
      <c r="A32" s="28" t="n">
        <v>31</v>
      </c>
      <c r="B32" s="49" t="n">
        <v>34</v>
      </c>
      <c r="C32" s="29" t="inlineStr">
        <is>
          <t>Регламент (ЕС) 2024/1689 (Акт за изкуствения интелект)</t>
        </is>
      </c>
      <c r="D32" s="28" t="inlineStr">
        <is>
          <t>Правен акт</t>
        </is>
      </c>
      <c r="E32" s="28" t="inlineStr">
        <is>
          <t>2024</t>
        </is>
      </c>
      <c r="F32" s="29" t="inlineStr">
        <is>
          <t>OJ L, 2024/1689, 12.7.2024</t>
        </is>
      </c>
      <c r="G32" s="29" t="inlineStr">
        <is>
          <t>https://eur-lex.europa.eu/eli/reg/2024/1689/oj</t>
        </is>
      </c>
      <c r="H32" s="48" t="inlineStr">
        <is>
          <t>https://eur-lex.europa.eu/eli/reg/2024/1689/oj</t>
        </is>
      </c>
      <c r="I32" s="29" t="inlineStr">
        <is>
          <t>EUR-Lex</t>
        </is>
      </c>
      <c r="J32" s="32" t="inlineStr">
        <is>
          <t>Висок</t>
        </is>
      </c>
      <c r="K32" s="29" t="inlineStr">
        <is>
          <t>Твърдението за прозрачност при генерирано съдържание трябва да сочи конкретен член (чл. 50) — ред 50.</t>
        </is>
      </c>
      <c r="L32" s="28">
        <f>COUNTIF('Ниво 2 Твърдения'!$C$2:$C$65,"*["&amp;A32&amp;"]*")</f>
        <v/>
      </c>
      <c r="M32" s="30" t="inlineStr">
        <is>
          <t>Потвърдено</t>
        </is>
      </c>
      <c r="N32" s="30" t="inlineStr">
        <is>
          <t>Регламент (ЕС) 2024/1689, OJ L 2024/1689, 12.7.2024</t>
        </is>
      </c>
      <c r="O32" s="31" t="inlineStr">
        <is>
          <t>Приет 13.06.2024 — съвпада. Членът за прозрачност (чл. 50) да се посочи в текста (Ниво 2, ред 50).</t>
        </is>
      </c>
      <c r="P32" s="30" t="inlineStr">
        <is>
          <t>Claude (авт.)</t>
        </is>
      </c>
      <c r="Q32" s="30" t="inlineStr">
        <is>
          <t>28.08.2026</t>
        </is>
      </c>
    </row>
    <row r="33" ht="23.25" customHeight="1" s="22">
      <c r="A33" s="28" t="n">
        <v>32</v>
      </c>
      <c r="B33" s="49" t="n">
        <v>35</v>
      </c>
      <c r="C33" s="29" t="inlineStr">
        <is>
          <t>S. G. Ramezani, Z. S. Mostafavi — скала за акредитационни стандарти</t>
        </is>
      </c>
      <c r="D33" s="28" t="inlineStr">
        <is>
          <t>Списание</t>
        </is>
      </c>
      <c r="E33" s="28" t="inlineStr">
        <is>
          <t>2025</t>
        </is>
      </c>
      <c r="F33" s="29" t="inlineStr">
        <is>
          <t>doi: 10.1007/s10639-025-13587-5</t>
        </is>
      </c>
      <c r="G33" s="29" t="inlineStr">
        <is>
          <t>https://api.openalex.org/works/doi:10.1007/s10639-025-13587-5</t>
        </is>
      </c>
      <c r="H33" s="48" t="inlineStr">
        <is>
          <t>https://api.openalex.org/works/doi:10.1007/s10639-025-13587-5</t>
        </is>
      </c>
      <c r="I33" s="29" t="inlineStr">
        <is>
          <t>DOI</t>
        </is>
      </c>
      <c r="J33" s="28" t="inlineStr">
        <is>
          <t>Нисък</t>
        </is>
      </c>
      <c r="K33" s="29" t="inlineStr">
        <is>
          <t>Стандартен запис.</t>
        </is>
      </c>
      <c r="L33" s="28">
        <f>COUNTIF('Ниво 2 Твърдения'!$C$2:$C$65,"*["&amp;A33&amp;"]*")</f>
        <v/>
      </c>
      <c r="M33" s="30" t="inlineStr">
        <is>
          <t>Потвърдено</t>
        </is>
      </c>
      <c r="N33" s="30" t="inlineStr">
        <is>
          <t>Education and Information Technologies, т. 30, кн. 15, с. 21139–21187, 2025</t>
        </is>
      </c>
      <c r="O33" s="31" t="inlineStr">
        <is>
          <t>Точно съвпадение.</t>
        </is>
      </c>
      <c r="P33" s="30" t="inlineStr">
        <is>
          <t>Claude (авт.)</t>
        </is>
      </c>
      <c r="Q33" s="30" t="inlineStr">
        <is>
          <t>28.08.2026</t>
        </is>
      </c>
    </row>
    <row r="34" ht="34.5" customHeight="1" s="22">
      <c r="A34" s="28" t="n">
        <v>33</v>
      </c>
      <c r="B34" s="49" t="n">
        <v>36</v>
      </c>
      <c r="C34" s="29" t="inlineStr">
        <is>
          <t>S. J. Warren et al. — Enhancing quality assurance through AI integration</t>
        </is>
      </c>
      <c r="D34" s="28" t="inlineStr">
        <is>
          <t>Списание</t>
        </is>
      </c>
      <c r="E34" s="28" t="inlineStr">
        <is>
          <t>2026</t>
        </is>
      </c>
      <c r="F34" s="29" t="inlineStr">
        <is>
          <t>Quality Assurance in Education, т. 34, кн. 2, с. 205–222</t>
        </is>
      </c>
      <c r="G34" s="29" t="inlineStr">
        <is>
          <t>https://www.emerald.com/qae/article/34/2/205/1302250/Enhancing-quality-assurance-through-strategic</t>
        </is>
      </c>
      <c r="H34" s="48" t="inlineStr">
        <is>
          <t>https://www.emerald.com/qae/article/34/2/205/1302250/Enhancing-quality-assurance-through-strategic</t>
        </is>
      </c>
      <c r="I34" s="29" t="inlineStr">
        <is>
          <t>Сайт на Emerald; търсене по заглавие</t>
        </is>
      </c>
      <c r="J34" s="32" t="inlineStr">
        <is>
          <t>Висок</t>
        </is>
      </c>
      <c r="K34" s="29" t="inlineStr">
        <is>
          <t>Единственият запис в списъка на списание без DOI, при това с година 2026. Потвърди съществуването и допълни DOI.</t>
        </is>
      </c>
      <c r="L34" s="28">
        <f>COUNTIF('Ниво 2 Твърдения'!$C$2:$C$65,"*["&amp;A34&amp;"]*")</f>
        <v/>
      </c>
      <c r="M34" s="30" t="inlineStr">
        <is>
          <t>Потвърдено</t>
        </is>
      </c>
      <c r="N34" s="30" t="inlineStr">
        <is>
          <t>QAE, т. 34, кн. 2, с. 205–222, 2026</t>
        </is>
      </c>
      <c r="O34" s="31" t="inlineStr">
        <is>
          <t>Съществува. Автори S. J. Warren, E. Boston Vogt, B. Tincher, J. Yang. DOI: 10.1108/QAE-09-2024-0183 — ДЕЙСТВИЕ: добави го, това беше единственият запис на списание без DOI. || НАНЕСЕНО В НИП 28.08: добави doi: 10.1108/QAE-09-2024-0183.</t>
        </is>
      </c>
      <c r="P34" s="30" t="inlineStr">
        <is>
          <t>Claude (авт.)</t>
        </is>
      </c>
      <c r="Q34" s="30" t="inlineStr">
        <is>
          <t>28.08.2026</t>
        </is>
      </c>
    </row>
    <row r="35" ht="23.25" customHeight="1" s="22">
      <c r="A35" s="28" t="n">
        <v>34</v>
      </c>
      <c r="B35" s="49" t="n">
        <v>37</v>
      </c>
      <c r="C35" s="29" t="inlineStr">
        <is>
          <t>UNESCO — Recommendation on Open Educational Resources</t>
        </is>
      </c>
      <c r="D35" s="28" t="inlineStr">
        <is>
          <t>Препоръка (ЮНЕСКО)</t>
        </is>
      </c>
      <c r="E35" s="28" t="inlineStr">
        <is>
          <t>2019</t>
        </is>
      </c>
      <c r="F35" s="29" t="inlineStr">
        <is>
          <t>unesdoc.unesco.org/ark:/48223/pf0000383205</t>
        </is>
      </c>
      <c r="G35" s="29" t="inlineStr">
        <is>
          <t>https://unesdoc.unesco.org/ark:/48223/pf0000383205</t>
        </is>
      </c>
      <c r="H35" s="48" t="inlineStr">
        <is>
          <t>https://unesdoc.unesco.org/ark:/48223/pf0000383205</t>
        </is>
      </c>
      <c r="I35" s="29" t="inlineStr">
        <is>
          <t>UNESDOC</t>
        </is>
      </c>
      <c r="J35" s="28" t="inlineStr">
        <is>
          <t>Нисък</t>
        </is>
      </c>
      <c r="K35" s="29" t="inlineStr">
        <is>
          <t>Стабилен източник.</t>
        </is>
      </c>
      <c r="L35" s="28">
        <f>COUNTIF('Ниво 2 Твърдения'!$C$2:$C$65,"*["&amp;A35&amp;"]*")</f>
        <v/>
      </c>
      <c r="M35" s="30" t="inlineStr">
        <is>
          <t>Потвърдено</t>
        </is>
      </c>
      <c r="N35" s="30" t="inlineStr">
        <is>
          <t>UNESCO, 2019</t>
        </is>
      </c>
      <c r="O35" s="31" t="inlineStr">
        <is>
          <t>Документът съществува. Самата ark-връзка да се отвори при финалната редакция — страницата се зарежда динамично и не се провери автоматично.</t>
        </is>
      </c>
      <c r="P35" s="30" t="inlineStr">
        <is>
          <t>Claude (авт.)</t>
        </is>
      </c>
      <c r="Q35" s="30" t="inlineStr">
        <is>
          <t>28.08.2026</t>
        </is>
      </c>
    </row>
    <row r="36" ht="34.5" customHeight="1" s="22">
      <c r="A36" s="28" t="n">
        <v>35</v>
      </c>
      <c r="B36" s="49" t="inlineStr">
        <is>
          <t>ОТПАДА</t>
        </is>
      </c>
      <c r="C36" s="29" t="inlineStr">
        <is>
          <t>X. Chen, Z. Hu, C. Wang — Empowering education development through AIGC</t>
        </is>
      </c>
      <c r="D36" s="28" t="inlineStr">
        <is>
          <t>Списание</t>
        </is>
      </c>
      <c r="E36" s="28" t="inlineStr">
        <is>
          <t>2024</t>
        </is>
      </c>
      <c r="F36" s="29" t="inlineStr">
        <is>
          <t>doi: 10.1007/s10639-024-12549-7</t>
        </is>
      </c>
      <c r="G36" s="29" t="inlineStr">
        <is>
          <t>https://link.springer.com/content/pdf/10.1007/s10639-024-12549-7.pdf</t>
        </is>
      </c>
      <c r="H36" s="48" t="inlineStr">
        <is>
          <t>https://link.springer.com/content/pdf/10.1007/s10639-024-12549-7.pdf</t>
        </is>
      </c>
      <c r="I36" s="29" t="inlineStr">
        <is>
          <t>DOI</t>
        </is>
      </c>
      <c r="J36" s="32" t="inlineStr">
        <is>
          <t>Висок</t>
        </is>
      </c>
      <c r="K36" s="29" t="inlineStr">
        <is>
          <t>Най-често използваният чужд източник след [16] — 6 твърдения, част от които изглеждат като авторски синтез (редове 8, 23).</t>
        </is>
      </c>
      <c r="L36" s="28">
        <f>COUNTIF('Ниво 2 Твърдения'!$C$2:$C$65,"*["&amp;A36&amp;"]*")</f>
        <v/>
      </c>
      <c r="M36" s="30" t="inlineStr">
        <is>
          <t>Потвърдено</t>
        </is>
      </c>
      <c r="N36" s="30" t="inlineStr">
        <is>
          <t>Education and Information Technologies, т. 29, кн. 13, с. 17485–17537, 2024 || НЯМА ДОСТЪП до пълния текст. ПРЕПОРЪКА: ред 19 се пренасочва към Wang и кол. 2024 (ESWA), който е свален и проверен; ред 37 вече е там; ред 45 се пренасочва към Wu, Wang и Wen 2026 (Acta Psychologica 266, 106874), който документира „excessive dependence on AI outputs“. Остава да носи само ред 16 (понятието AIGC) — или отпада изцяло. || ОТПАДА ИЗЦЯЛО. И четирите му места са прехвърлени към Bahroun и кол. 2023, Sustainability 15(17), 12983 — библиометричен и съдържателен преглед на генеративния ИИ в образованието, свободен достъп. Wang и кол. 2024 (ESWA) НЕ ставаше: „developments, such as generative AI, are absent from our sample articles“.</t>
        </is>
      </c>
      <c r="O36" s="31" t="inlineStr">
        <is>
          <t>X. Chen, Z. Hu, C. Wang — точно.</t>
        </is>
      </c>
      <c r="P36" s="30" t="inlineStr">
        <is>
          <t>Claude (авт.)</t>
        </is>
      </c>
      <c r="Q36" s="30" t="inlineStr">
        <is>
          <t>28.08.2026</t>
        </is>
      </c>
    </row>
    <row r="37" ht="15" customHeight="1" s="22">
      <c r="A37" s="28" t="n">
        <v>36</v>
      </c>
      <c r="B37" s="49" t="n">
        <v>41</v>
      </c>
      <c r="C37" s="29" t="inlineStr">
        <is>
          <t>Z. Liu et al. — COGENT</t>
        </is>
      </c>
      <c r="D37" s="28" t="inlineStr">
        <is>
          <t>Работилница (BEA 2025)</t>
        </is>
      </c>
      <c r="E37" s="28" t="inlineStr">
        <is>
          <t>2025</t>
        </is>
      </c>
      <c r="F37" s="29" t="inlineStr">
        <is>
          <t>Proc. BEA 2025</t>
        </is>
      </c>
      <c r="G37" s="29" t="inlineStr">
        <is>
          <t>https://aclanthology.org/2025.bea-1.10/</t>
        </is>
      </c>
      <c r="H37" s="48" t="inlineStr">
        <is>
          <t>https://aclanthology.org/2025.bea-1.10/</t>
        </is>
      </c>
      <c r="I37" s="29" t="inlineStr">
        <is>
          <t>ACL Anthology</t>
        </is>
      </c>
      <c r="J37" s="28" t="inlineStr">
        <is>
          <t>Нисък</t>
        </is>
      </c>
      <c r="K37" s="29" t="inlineStr">
        <is>
          <t>Стандартен запис.</t>
        </is>
      </c>
      <c r="L37" s="28">
        <f>COUNTIF('Ниво 2 Твърдения'!$C$2:$C$65,"*["&amp;A37&amp;"]*")</f>
        <v/>
      </c>
      <c r="M37" s="30" t="inlineStr">
        <is>
          <t>Потвърдено</t>
        </is>
      </c>
      <c r="N37" s="30" t="inlineStr">
        <is>
          <t>aclanthology.org/2025.bea-1.10, с. 129–143</t>
        </is>
      </c>
      <c r="O37" s="31" t="inlineStr">
        <is>
          <t>Z. Liu, S. X. Yin, D. H.-L. Goh, N. F. Chen. DOI: 10.18653/v1/2025.bea-1.10. ДЕЙСТВИЕ: добави страници и DOI. || НАНЕСЕНО В НИП 28.08: добави pp. 129–143 и doi: 10.18653/v1/2025.bea-1.10.</t>
        </is>
      </c>
      <c r="P37" s="30" t="inlineStr">
        <is>
          <t>Claude (авт.)</t>
        </is>
      </c>
      <c r="Q37" s="30" t="inlineStr">
        <is>
          <t>28.08.2026</t>
        </is>
      </c>
    </row>
  </sheetData>
  <autoFilter ref="A1:N37"/>
  <dataValidations count="1">
    <dataValidation sqref="J2:J37" showDropDown="0" showInputMessage="0" showErrorMessage="0" allowBlank="1" type="list" errorStyle="stop" operator="between">
      <formula1>"Непроверено,Потвърдено,Частично потвърдено,Не се потвърждава,Източникът не е намерен,Няма достъп — за ръчна проверка"</formula1>
      <formula2>0</formula2>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K5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8" customWidth="1" style="22" min="1" max="1"/>
    <col width="62" customWidth="1" style="22" min="2" max="2"/>
    <col width="26" customWidth="1" style="22" min="3" max="3"/>
    <col width="26" customWidth="1" style="22" min="4" max="4"/>
    <col width="20" customWidth="1" style="22" min="5" max="5"/>
    <col width="38" customWidth="1" style="22" min="6" max="6"/>
    <col width="64" customWidth="1" style="22" min="7" max="7"/>
    <col width="50" customWidth="1" style="22" min="8" max="8"/>
    <col width="10" customWidth="1" style="22" min="9" max="9"/>
    <col width="24" customWidth="1" style="22" min="10" max="10"/>
    <col width="12" customWidth="1" style="22" min="11" max="11"/>
  </cols>
  <sheetData>
    <row r="1">
      <c r="A1" s="64" t="inlineStr">
        <is>
          <t>№ (текущ)</t>
        </is>
      </c>
      <c r="B1" s="64" t="inlineStr">
        <is>
          <t>Библиографски запис</t>
        </is>
      </c>
      <c r="C1" s="64" t="inlineStr">
        <is>
          <t>Тип</t>
        </is>
      </c>
      <c r="D1" s="64" t="inlineStr">
        <is>
          <t>Как е проверен</t>
        </is>
      </c>
      <c r="E1" s="64" t="inlineStr">
        <is>
          <t>Статус</t>
        </is>
      </c>
      <c r="F1" s="64" t="inlineStr">
        <is>
          <t>Линк / DOI</t>
        </is>
      </c>
      <c r="G1" s="64" t="inlineStr">
        <is>
          <t>Извадка или данни от източника</t>
        </is>
      </c>
      <c r="H1" s="64" t="inlineStr">
        <is>
          <t>Бележка</t>
        </is>
      </c>
      <c r="I1" s="64" t="inlineStr">
        <is>
          <t>Брой цитирания в текста</t>
        </is>
      </c>
      <c r="J1" s="64" t="inlineStr">
        <is>
          <t>Предишен ред</t>
        </is>
      </c>
      <c r="K1" s="64" t="inlineStr">
        <is>
          <t>Дата</t>
        </is>
      </c>
    </row>
    <row r="2" ht="76" customHeight="1" s="22">
      <c r="A2" s="65" t="n">
        <v>1</v>
      </c>
      <c r="B2" s="65" t="inlineStr">
        <is>
          <t>А. Захариев, „Изкуственият интелект в образователната и научна степен „доктор“: дигитализация, регулация и кредитна акселерация“,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15–23.</t>
        </is>
      </c>
      <c r="C2" s="65" t="inlineStr">
        <is>
          <t>Доклад в сборник (BG)</t>
        </is>
      </c>
      <c r="D2" s="65" t="inlineStr">
        <is>
          <t>Сборник на конференцията (PDF/ISBN); при липса — контакт с организатора или автора</t>
        </is>
      </c>
      <c r="E2" s="68" t="inlineStr">
        <is>
          <t>Потвърдено</t>
        </is>
      </c>
      <c r="F2" s="66" t="inlineStr">
        <is>
          <t>https://www.conf-dte.bg/docs/2026/p-2.pdf</t>
        </is>
      </c>
      <c r="G2" s="65" t="inlineStr">
        <is>
          <t>2026_p-2.pdf, печ. стр. 15–23</t>
        </is>
      </c>
      <c r="H2" s="65" t="inlineStr">
        <is>
          <t>Заглавие, автор (Андрей Захариев) и страници съвпадат.</t>
        </is>
      </c>
      <c r="I2" s="65" t="n">
        <v>2</v>
      </c>
      <c r="J2" s="65" t="inlineStr">
        <is>
          <t>Ниво 1 Източници!ред 2</t>
        </is>
      </c>
      <c r="K2" s="65" t="inlineStr">
        <is>
          <t>28.08.2026</t>
        </is>
      </c>
    </row>
    <row r="3" ht="76" customHeight="1" s="22">
      <c r="A3" s="65" t="n">
        <v>2</v>
      </c>
      <c r="B3" s="65" t="inlineStr">
        <is>
          <t>Д. Димитранов и Г. Димитров, „Изкуственият интелект като инструмент за автоматизирано създаване на бази данни от тестови въпроси“,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576–580.</t>
        </is>
      </c>
      <c r="C3" s="65" t="inlineStr">
        <is>
          <t>Доклад в сборник (BG)</t>
        </is>
      </c>
      <c r="D3" s="65" t="inlineStr">
        <is>
          <t>Сборник; проверка на числата 656 000 знака / 553 въпроса</t>
        </is>
      </c>
      <c r="E3" s="68" t="inlineStr">
        <is>
          <t>Потвърдено</t>
        </is>
      </c>
      <c r="F3" s="66" t="inlineStr">
        <is>
          <t>https://www.conf-dte.bg/docs/2026/p-100.pdf</t>
        </is>
      </c>
      <c r="G3" s="65" t="inlineStr">
        <is>
          <t>2026_p-100.pdf, печ. стр. 576–580</t>
        </is>
      </c>
      <c r="H3" s="65" t="inlineStr">
        <is>
          <t>Дилян Димитранов, Георги Димитров — съвпада.</t>
        </is>
      </c>
      <c r="I3" s="65" t="n">
        <v>6</v>
      </c>
      <c r="J3" s="65" t="inlineStr">
        <is>
          <t>Ниво 1 Източници!ред 3</t>
        </is>
      </c>
      <c r="K3" s="65" t="inlineStr">
        <is>
          <t>28.08.2026</t>
        </is>
      </c>
    </row>
    <row r="4" ht="76" customHeight="1" s="22">
      <c r="A4" s="65" t="n">
        <v>3</v>
      </c>
      <c r="B4" s="65" t="inlineStr">
        <is>
          <t>Е. Даскалова, О. Попова, С. Стефанов, М. Пенчева и В. Стефанова, „Концептуален дизайн за базирана на изкуствен интелект платформа за обучение на студенти по дентална анатомия“,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554–558.</t>
        </is>
      </c>
      <c r="C4" s="65" t="inlineStr">
        <is>
          <t>Доклад в сборник (BG)</t>
        </is>
      </c>
      <c r="D4" s="65" t="inlineStr">
        <is>
          <t>Сборник; проверка на списъка от петима автори</t>
        </is>
      </c>
      <c r="E4" s="68" t="inlineStr">
        <is>
          <t>Потвърдено</t>
        </is>
      </c>
      <c r="F4" s="66" t="inlineStr">
        <is>
          <t>https://www.conf-dte.bg/docs/2026/p-96.pdf</t>
        </is>
      </c>
      <c r="G4" s="65" t="inlineStr">
        <is>
          <t>2026_p-96.pdf, печ. стр. 554–558</t>
        </is>
      </c>
      <c r="H4" s="65" t="inlineStr">
        <is>
          <t>Петимата автори съвпадат, вкл. Весела Стефанова.</t>
        </is>
      </c>
      <c r="I4" s="65" t="n">
        <v>1</v>
      </c>
      <c r="J4" s="65" t="inlineStr">
        <is>
          <t>Ниво 1 Източници!ред 4</t>
        </is>
      </c>
      <c r="K4" s="65" t="inlineStr">
        <is>
          <t>28.08.2026</t>
        </is>
      </c>
    </row>
    <row r="5" ht="76" customHeight="1" s="22">
      <c r="A5" s="65" t="n">
        <v>4</v>
      </c>
      <c r="B5" s="65" t="inlineStr">
        <is>
          <t>М. Дамесова, „Овладяване на сложни концепции чрез генеративен изкуствен интелект и дигитален storytelling“,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717–721.</t>
        </is>
      </c>
      <c r="C5" s="65" t="inlineStr">
        <is>
          <t>Доклад в сборник (BG)</t>
        </is>
      </c>
      <c r="D5" s="65" t="inlineStr">
        <is>
          <t>Сборник</t>
        </is>
      </c>
      <c r="E5" s="68" t="inlineStr">
        <is>
          <t>Потвърдено</t>
        </is>
      </c>
      <c r="F5" s="66" t="inlineStr">
        <is>
          <t>https://www.conf-dte.bg/docs/2026/p-124.pdf</t>
        </is>
      </c>
      <c r="G5" s="65" t="inlineStr">
        <is>
          <t>2026_p-124.pdf, печ. стр. 717–721</t>
        </is>
      </c>
      <c r="H5" s="65" t="inlineStr">
        <is>
          <t>Милена Дамесова — съвпада.</t>
        </is>
      </c>
      <c r="I5" s="65" t="n">
        <v>1</v>
      </c>
      <c r="J5" s="65" t="inlineStr">
        <is>
          <t>Ниво 1 Източници!ред 5</t>
        </is>
      </c>
      <c r="K5" s="65" t="inlineStr">
        <is>
          <t>28.08.2026</t>
        </is>
      </c>
    </row>
    <row r="6" ht="76" customHeight="1" s="22">
      <c r="A6" s="65" t="n">
        <v>5</v>
      </c>
      <c r="B6" s="65" t="inlineStr">
        <is>
          <t>М. Левунлиева, „ИИ в образованието – перспективата на педагога“,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605–610.</t>
        </is>
      </c>
      <c r="C6" s="65" t="inlineStr">
        <is>
          <t>Доклад в сборник (BG)</t>
        </is>
      </c>
      <c r="D6" s="65" t="inlineStr">
        <is>
          <t>Сборник; проверка на извадката от 68 специалисти и на „трите оценъчни оси“</t>
        </is>
      </c>
      <c r="E6" s="68" t="inlineStr">
        <is>
          <t>Потвърдено</t>
        </is>
      </c>
      <c r="F6" s="66" t="inlineStr">
        <is>
          <t>https://www.conf-dte.bg/docs/2026/p-106.pdf</t>
        </is>
      </c>
      <c r="G6" s="65" t="inlineStr">
        <is>
          <t>2026_p-106.pdf, печ. стр. 605–610</t>
        </is>
      </c>
      <c r="H6" s="65" t="inlineStr">
        <is>
          <t>Милена Левунлиева — съвпада.</t>
        </is>
      </c>
      <c r="I6" s="65" t="n">
        <v>1</v>
      </c>
      <c r="J6" s="65" t="inlineStr">
        <is>
          <t>Ниво 1 Източници!ред 6</t>
        </is>
      </c>
      <c r="K6" s="65" t="inlineStr">
        <is>
          <t>28.08.2026</t>
        </is>
      </c>
    </row>
    <row r="7" ht="76" customHeight="1" s="22">
      <c r="A7" s="65" t="n">
        <v>6</v>
      </c>
      <c r="B7" s="65" t="inlineStr">
        <is>
          <t>М. Маркова, „Изкуственият интелект в помощ на ускореното учене: практически инструменти за преподаватели“,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541–546.</t>
        </is>
      </c>
      <c r="C7" s="65" t="inlineStr">
        <is>
          <t>Доклад в сборник (BG)</t>
        </is>
      </c>
      <c r="D7" s="65" t="inlineStr">
        <is>
          <t>Сборник; проверка на диапазона 75–90 %</t>
        </is>
      </c>
      <c r="E7" s="68" t="inlineStr">
        <is>
          <t>Потвърдено</t>
        </is>
      </c>
      <c r="F7" s="66" t="inlineStr">
        <is>
          <t>https://www.conf-dte.bg/docs/2026/p-94.pdf</t>
        </is>
      </c>
      <c r="G7" s="65" t="inlineStr">
        <is>
          <t>2026_p-94.pdf, печ. стр. 541–546</t>
        </is>
      </c>
      <c r="H7" s="65" t="inlineStr">
        <is>
          <t>Мая Маркова — записът е верен. ВНИМАНИЕ: твърдението в ред 31 на Ниво 2 не се потвърждава.</t>
        </is>
      </c>
      <c r="I7" s="65" t="n">
        <v>2</v>
      </c>
      <c r="J7" s="65" t="inlineStr">
        <is>
          <t>Ниво 1 Източници!ред 7</t>
        </is>
      </c>
      <c r="K7" s="65" t="inlineStr">
        <is>
          <t>28.08.2026</t>
        </is>
      </c>
    </row>
    <row r="8" ht="76" customHeight="1" s="22">
      <c r="A8" s="65" t="n">
        <v>7</v>
      </c>
      <c r="B8" s="65" t="inlineStr">
        <is>
          <t>С. Гафтанджиева и Р. Донева, „Генеративен изкуствен интелект в образованието: проблеми и решения“, Педагогика, т. 97, кн. 9, с. 1284–1297, 2025, doi: 10.53656/ped2025-9.04.</t>
        </is>
      </c>
      <c r="C8" s="65" t="inlineStr">
        <is>
          <t>Списание (BG)</t>
        </is>
      </c>
      <c r="D8" s="65" t="inlineStr">
        <is>
          <t>DOI резолвер; проверка на вторично цитираното число „една шеста“</t>
        </is>
      </c>
      <c r="E8" s="68" t="inlineStr">
        <is>
          <t>Потвърдено</t>
        </is>
      </c>
      <c r="F8" s="66" t="inlineStr">
        <is>
          <t>https://journals.azbuki.bg/pedagogy/generativen-izkustven-intelekt-v-obrazovanieto-problemi-i-reseniya/view</t>
        </is>
      </c>
      <c r="G8" s="65" t="inlineStr">
        <is>
          <t>печ. стр. 1284–1297; doi 10.53656/ped2025-9.04</t>
        </is>
      </c>
      <c r="H8" s="65" t="inlineStr">
        <is>
          <t>Педагогика, т. 97, кн. 9, 2025 — съвпада.</t>
        </is>
      </c>
      <c r="I8" s="65" t="n">
        <v>2</v>
      </c>
      <c r="J8" s="65" t="inlineStr">
        <is>
          <t>Ниво 1 Източници!ред 8</t>
        </is>
      </c>
      <c r="K8" s="65" t="inlineStr">
        <is>
          <t>28.08.2026</t>
        </is>
      </c>
    </row>
    <row r="9" ht="76" customHeight="1" s="22">
      <c r="A9" s="65" t="n">
        <v>8</v>
      </c>
      <c r="B9" s="65" t="inlineStr">
        <is>
          <t>Ц. Василев, „Използване на изкуствен интелект в обучението – гледна точка на студент и преподавател“,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24–32.</t>
        </is>
      </c>
      <c r="C9" s="65" t="inlineStr">
        <is>
          <t>Доклад в сборник (BG)</t>
        </is>
      </c>
      <c r="D9" s="65" t="inlineStr">
        <is>
          <t>Сборник; проверка дали докладът наистина прави преглед на ~130 източника</t>
        </is>
      </c>
      <c r="E9" s="68" t="inlineStr">
        <is>
          <t>Потвърдено</t>
        </is>
      </c>
      <c r="F9" s="66" t="inlineStr">
        <is>
          <t>https://www.conf-dte.bg/docs/2026/p-3.pdf</t>
        </is>
      </c>
      <c r="G9" s="65" t="inlineStr">
        <is>
          <t>2026_p-3.pdf, печ. стр. 24–32</t>
        </is>
      </c>
      <c r="H9" s="65" t="inlineStr">
        <is>
          <t>Цветомир Василев — съвпада.</t>
        </is>
      </c>
      <c r="I9" s="65" t="n">
        <v>2</v>
      </c>
      <c r="J9" s="65" t="inlineStr">
        <is>
          <t>Ниво 1 Източници!ред 9</t>
        </is>
      </c>
      <c r="K9" s="65" t="inlineStr">
        <is>
          <t>28.08.2026</t>
        </is>
      </c>
    </row>
    <row r="10" ht="76" customHeight="1" s="22">
      <c r="A10" s="65" t="n">
        <v>9</v>
      </c>
      <c r="B10" s="65" t="inlineStr">
        <is>
          <t>Ц. Дуцова, „Някои аспекти на приложение на изкуствения интелект в образованието“, в Сб. докл. Трета национална научно-практическа конференция „Дигитална трансформация на образованието – проблеми и решения“, Русе, България, 2025, с. 472–478.</t>
        </is>
      </c>
      <c r="C10" s="65" t="inlineStr">
        <is>
          <t>Доклад в сборник (BG)</t>
        </is>
      </c>
      <c r="D10" s="65" t="inlineStr">
        <is>
          <t>Сборник</t>
        </is>
      </c>
      <c r="E10" s="68" t="inlineStr">
        <is>
          <t>Потвърдено</t>
        </is>
      </c>
      <c r="F10" s="66" t="inlineStr">
        <is>
          <t>https://www.conf-dte.bg/docs/2025/p-84.pdf</t>
        </is>
      </c>
      <c r="G10" s="65" t="inlineStr">
        <is>
          <t>2025_p-84.pdf, печ. стр. 472–478</t>
        </is>
      </c>
      <c r="H10" s="65" t="inlineStr">
        <is>
          <t>Цветанка Дуцова, Трета конференция 2025 — съвпада.</t>
        </is>
      </c>
      <c r="I10" s="65" t="n">
        <v>1</v>
      </c>
      <c r="J10" s="65" t="inlineStr">
        <is>
          <t>Ниво 1 Източници!ред 10</t>
        </is>
      </c>
      <c r="K10" s="65" t="inlineStr">
        <is>
          <t>28.08.2026</t>
        </is>
      </c>
    </row>
    <row r="11" ht="76" customHeight="1" s="22">
      <c r="A11" s="65" t="n">
        <v>10</v>
      </c>
      <c r="B11" s="65" t="inlineStr">
        <is>
          <t>A. S. Doğruöz et al., "Challenges and recommendations for LLMs-as-a-judge in multilingual settings and low-resource languages," 2026, arXiv:2607.02235.</t>
        </is>
      </c>
      <c r="C11" s="65" t="inlineStr">
        <is>
          <t>Препринт</t>
        </is>
      </c>
      <c r="D11" s="65" t="inlineStr">
        <is>
          <t>arxiv.org/abs/2607.02235 — първо съществуване, после авторство</t>
        </is>
      </c>
      <c r="E11" s="68" t="inlineStr">
        <is>
          <t>Потвърдено</t>
        </is>
      </c>
      <c r="F11" s="66" t="inlineStr">
        <is>
          <t>https://arxiv.org/html/2607.02235v1</t>
        </is>
      </c>
      <c r="G11" s="65" t="inlineStr">
        <is>
          <t>arXiv:2607.02235 — съществува</t>
        </is>
      </c>
      <c r="H11" s="65" t="inlineStr">
        <is>
          <t>Заглавието съвпада. Автори: A. S. Doğruöz, X. Liao, V. Blaschke, J. Prange, S. Li, D. I. Adelani и др. ДЕЙСТВИЕ: добави авторите — запис без автор е формално некоректен по IEEE. Числата 650/33 се потвърждават. || НАНЕСЕНО В НИП 28.08: добави „A. S. Doğruöz et al.“ пред заглавието.</t>
        </is>
      </c>
      <c r="I11" s="65" t="n">
        <v>3</v>
      </c>
      <c r="J11" s="65" t="inlineStr">
        <is>
          <t>Ниво 1 Източници!ред 11</t>
        </is>
      </c>
      <c r="K11" s="65" t="inlineStr">
        <is>
          <t>28.08.2026</t>
        </is>
      </c>
    </row>
    <row r="12" ht="76" customHeight="1" s="22">
      <c r="A12" s="65" t="n">
        <v>11</v>
      </c>
      <c r="B12" s="65" t="inlineStr">
        <is>
          <t>A. Sangrà, D. Vlachopoulos, and N. Cabrera, "Building an inclusive definition of e-learning: An approach to the conceptual framework," The International Review of Research in Open and Distributed Learning, vol. 13, no. 2, pp. 145–159, 2012, doi: 10.19173/irrodl.v13i2.1161.</t>
        </is>
      </c>
      <c r="C12" s="65" t="inlineStr">
        <is>
          <t>Списание (IRRODL)</t>
        </is>
      </c>
      <c r="D12" s="65" t="inlineStr">
        <is>
          <t>PDF в downloaded_pdfs + DOI</t>
        </is>
      </c>
      <c r="E12" s="68" t="inlineStr">
        <is>
          <t>Потвърдено</t>
        </is>
      </c>
      <c r="F12" s="66" t="inlineStr">
        <is>
          <t>https://doi.org/10.19173/irrodl.v13i2.1161</t>
        </is>
      </c>
      <c r="G12" s="65" t="inlineStr">
        <is>
          <t>„Building an Inclusive Definition of E-Learning: An Approach to the Conceptual Framework“ — Albert Sangrà, Dimitrios Vlachopoulos, Nati Cabrera, Universitat Oberta de Catalunya</t>
        </is>
      </c>
      <c r="H12" s="65" t="inlineStr">
        <is>
          <t>aupress-admin,+Sangra2.pdf — заглавие и автори съвпадат дословно с записа.</t>
        </is>
      </c>
      <c r="I12" s="65" t="n">
        <v>2</v>
      </c>
      <c r="J12" s="69" t="inlineStr">
        <is>
          <t>НОВ РЕД — липсваше</t>
        </is>
      </c>
      <c r="K12" s="65" t="inlineStr">
        <is>
          <t>31.08.2026</t>
        </is>
      </c>
    </row>
    <row r="13" ht="76" customHeight="1" s="22">
      <c r="A13" s="65" t="n">
        <v>12</v>
      </c>
      <c r="B13" s="65" t="inlineStr">
        <is>
          <t>C. Redecker, European Framework for the Digital Competence of Educators: DigCompEdu, Y. Punie, Ed. Luxembourg: Publications Office of the European Union, 2017, JRC107466.</t>
        </is>
      </c>
      <c r="C13" s="65" t="inlineStr">
        <is>
          <t>Рамков документ (ЕС)</t>
        </is>
      </c>
      <c r="D13" s="65" t="inlineStr">
        <is>
          <t>Свободно достъпен PDF на JRC</t>
        </is>
      </c>
      <c r="E13" s="68" t="inlineStr">
        <is>
          <t>Потвърдено</t>
        </is>
      </c>
      <c r="F13" s="66" t="inlineStr">
        <is>
          <t>https://joint-research-centre.ec.europa.eu/digcompedu_en</t>
        </is>
      </c>
      <c r="G13" s="65" t="inlineStr">
        <is>
          <t>JRC107466, Publications Office of the EU, 2017</t>
        </is>
      </c>
      <c r="H13" s="65" t="inlineStr">
        <is>
          <t>Redecker, ред. Punie — съвпада.</t>
        </is>
      </c>
      <c r="I13" s="65" t="n">
        <v>2</v>
      </c>
      <c r="J13" s="65" t="inlineStr">
        <is>
          <t>Ниво 1 Източници!ред 13</t>
        </is>
      </c>
      <c r="K13" s="65" t="inlineStr">
        <is>
          <t>28.08.2026</t>
        </is>
      </c>
    </row>
    <row r="14" ht="76" customHeight="1" s="22">
      <c r="A14" s="65" t="n">
        <v>13</v>
      </c>
      <c r="B14" s="65" t="inlineStr">
        <is>
          <t>D. Li et al., "From generation to judgment: Opportunities and challenges of LLM-as-a-judge," in Proc. 2025 Conference on Empirical Methods in Natural Language Processing (EMNLP), 2025, pp. 2757–2791, doi: 10.18653/v1/2025.emnlp-main.138.</t>
        </is>
      </c>
      <c r="C14" s="65" t="inlineStr">
        <is>
          <t>Конференция + препринт</t>
        </is>
      </c>
      <c r="D14" s="65" t="inlineStr">
        <is>
          <t>arXiv + ACL Anthology; сверяване дали двете версии съвпадат</t>
        </is>
      </c>
      <c r="E14" s="68" t="inlineStr">
        <is>
          <t>Потвърдено</t>
        </is>
      </c>
      <c r="F14" s="66" t="inlineStr">
        <is>
          <t>https://aclanthology.org/2025.emnlp-main.138/</t>
        </is>
      </c>
      <c r="G14" s="65" t="inlineStr">
        <is>
          <t>aclanthology.org/2025.emnlp-main.138, с. 2757–2791</t>
        </is>
      </c>
      <c r="H14" s="65" t="inlineStr">
        <is>
          <t>DOI: 10.18653/v1/2025.emnlp-main.138. ДЕЙСТВИЕ: добави страници и DOI към записа. || НАНЕСЕНО В НИП 28.08: добави pp. 2757–2791 и doi: 10.18653/v1/2025.emnlp-main.138.</t>
        </is>
      </c>
      <c r="I14" s="65" t="n">
        <v>4</v>
      </c>
      <c r="J14" s="65" t="inlineStr">
        <is>
          <t>Ниво 1 Източници!ред 14</t>
        </is>
      </c>
      <c r="K14" s="65" t="inlineStr">
        <is>
          <t>28.08.2026</t>
        </is>
      </c>
    </row>
    <row r="15" ht="76" customHeight="1" s="22">
      <c r="A15" s="65" t="n">
        <v>14</v>
      </c>
      <c r="B15" s="65" t="inlineStr">
        <is>
          <t>D. S. Chai, H. S. Kim, K. N. Kim, Y. Ha, S. S. H. Shin, and S. W. Yoon, "Generative artificial intelligence in instructional system design," Human Resource Development Review, vol. 24, no. 4, pp. 388–417, 2025, doi: 10.1177/15344843251320256.</t>
        </is>
      </c>
      <c r="C15" s="65" t="inlineStr">
        <is>
          <t>Списание</t>
        </is>
      </c>
      <c r="D15" s="65" t="inlineStr">
        <is>
          <t>DOI; проверка на броя 71 публикации</t>
        </is>
      </c>
      <c r="E15" s="68" t="inlineStr">
        <is>
          <t>Потвърдено</t>
        </is>
      </c>
      <c r="F15" s="66" t="inlineStr">
        <is>
          <t>https://api.openalex.org/works/doi:10.1177/15344843251320256</t>
        </is>
      </c>
      <c r="G15" s="65" t="inlineStr">
        <is>
          <t>HRDR, т. 24, кн. 4, с. 388–417, 2025</t>
        </is>
      </c>
      <c r="H15" s="65" t="inlineStr">
        <is>
          <t>Шестимата автори съвпадат. ДЕЙСТВИЕ: добави том, книжка и страници. || НАНЕСЕНО В НИП 28.08: добави vol. 24, no. 4, pp. 388–417.</t>
        </is>
      </c>
      <c r="I15" s="65" t="n">
        <v>2</v>
      </c>
      <c r="J15" s="65" t="inlineStr">
        <is>
          <t>Ниво 1 Източници!ред 15</t>
        </is>
      </c>
      <c r="K15" s="65" t="inlineStr">
        <is>
          <t>28.08.2026</t>
        </is>
      </c>
    </row>
    <row r="16" ht="76" customHeight="1" s="22">
      <c r="A16" s="65" t="n">
        <v>15</v>
      </c>
      <c r="B16" s="65" t="inlineStr">
        <is>
          <t>E. Dickey and A. Bejarano, "GAIDE: A framework for using generative AI to assist in course content development," in Proc. 2024 IEEE Frontiers in Education Conference (FIE), 2024, pp. 1–9, doi: 10.1109/FIE61694.2024.10893132.</t>
        </is>
      </c>
      <c r="C16" s="65" t="inlineStr">
        <is>
          <t>Конференция (IEEE)</t>
        </is>
      </c>
      <c r="D16" s="65" t="inlineStr">
        <is>
          <t>IEEE Xplore</t>
        </is>
      </c>
      <c r="E16" s="68" t="inlineStr">
        <is>
          <t>Потвърдено</t>
        </is>
      </c>
      <c r="F16" s="66" t="inlineStr">
        <is>
          <t>https://api.openalex.org/works/doi:10.1109/fie61694.2024.10893132</t>
        </is>
      </c>
      <c r="G16" s="65" t="inlineStr">
        <is>
          <t>Proc. 2024 IEEE FIE, с. 1–9</t>
        </is>
      </c>
      <c r="H16" s="65" t="inlineStr">
        <is>
          <t>Ethan Dickey, Andres Bejarano — точно съвпадение.</t>
        </is>
      </c>
      <c r="I16" s="65" t="n">
        <v>2</v>
      </c>
      <c r="J16" s="65" t="inlineStr">
        <is>
          <t>Ниво 1 Източници!ред 16</t>
        </is>
      </c>
      <c r="K16" s="65" t="inlineStr">
        <is>
          <t>28.08.2026</t>
        </is>
      </c>
    </row>
    <row r="17" ht="76" customHeight="1" s="22">
      <c r="A17" s="65" t="n">
        <v>16</v>
      </c>
      <c r="B17" s="65" t="inlineStr">
        <is>
          <t>E. Kasneci et al., "ChatGPT for good? On opportunities and challenges of large language models for education," Learning and Individual Differences, vol. 103, Art. no. 102274, 2023, doi: 10.1016/j.lindif.2023.102274.</t>
        </is>
      </c>
      <c r="C17" s="65" t="inlineStr">
        <is>
          <t>Списание</t>
        </is>
      </c>
      <c r="D17" s="65" t="inlineStr">
        <is>
          <t>DOI; отворен достъп</t>
        </is>
      </c>
      <c r="E17" s="68" t="inlineStr">
        <is>
          <t>Потвърдено</t>
        </is>
      </c>
      <c r="F17" s="66" t="inlineStr">
        <is>
          <t>https://opus.bibliothek.uni-augsburg.de/opus4/files/109030/109030.pdf</t>
        </is>
      </c>
      <c r="G17" s="65" t="inlineStr">
        <is>
          <t>Learning and Individual Differences, т. 103, чл. 102274, 2023</t>
        </is>
      </c>
      <c r="H17" s="65" t="inlineStr">
        <is>
          <t>23 автора, първи Kasneci — точно.</t>
        </is>
      </c>
      <c r="I17" s="65" t="n">
        <v>16</v>
      </c>
      <c r="J17" s="65" t="inlineStr">
        <is>
          <t>Ниво 1 Източници!ред 17</t>
        </is>
      </c>
      <c r="K17" s="65" t="inlineStr">
        <is>
          <t>28.08.2026</t>
        </is>
      </c>
    </row>
    <row r="18" ht="76" customHeight="1" s="22">
      <c r="A18" s="65" t="n">
        <v>17</v>
      </c>
      <c r="B18" s="65" t="inlineStr">
        <is>
          <t>E. Staneviciene and G. Žekienė, "The use of multimedia in the teaching and learning process of higher education: A systematic review," Sustainability, vol. 17, no. 19, Art. no. 8859, 2025, doi: 10.3390/su17198859.</t>
        </is>
      </c>
      <c r="C18" s="65" t="inlineStr">
        <is>
          <t>Списание</t>
        </is>
      </c>
      <c r="D18" s="65" t="inlineStr">
        <is>
          <t>DOI; отворен достъп (MDPI)</t>
        </is>
      </c>
      <c r="E18" s="68" t="inlineStr">
        <is>
          <t>Потвърдено</t>
        </is>
      </c>
      <c r="F18" s="66" t="inlineStr">
        <is>
          <t>https://api.openalex.org/works/doi:10.3390/su17198859</t>
        </is>
      </c>
      <c r="G18" s="65" t="inlineStr">
        <is>
          <t>Sustainability, т. 17, кн. 19, чл. 8859, 2025</t>
        </is>
      </c>
      <c r="H18" s="65" t="inlineStr">
        <is>
          <t>Evelina Staneviciene, Gintarė Žekienė — точно.</t>
        </is>
      </c>
      <c r="I18" s="65" t="n">
        <v>1</v>
      </c>
      <c r="J18" s="65" t="inlineStr">
        <is>
          <t>Ниво 1 Източници!ред 18</t>
        </is>
      </c>
      <c r="K18" s="65" t="inlineStr">
        <is>
          <t>28.08.2026</t>
        </is>
      </c>
    </row>
    <row r="19" ht="76" customHeight="1" s="22">
      <c r="A19" s="65" t="n">
        <v>18</v>
      </c>
      <c r="B19" s="65" t="inlineStr">
        <is>
          <t>F. Miao and W. Holmes, Guidance for Generative AI in Education and Research. Paris, France: UNESCO, 2023. [Online]. Available: https://www.unesco.org/en/articles/guidance-generative-ai-education-and-research</t>
        </is>
      </c>
      <c r="C19" s="65" t="inlineStr">
        <is>
          <t>Документ на ЮНЕСКО</t>
        </is>
      </c>
      <c r="D19" s="65" t="inlineStr">
        <is>
          <t>Сайт на ЮНЕСКО</t>
        </is>
      </c>
      <c r="E19" s="68" t="inlineStr">
        <is>
          <t>Потвърдено</t>
        </is>
      </c>
      <c r="F19" s="66" t="inlineStr">
        <is>
          <t>https://www.unesco.org/en/articles/guidance-generative-ai-education-and-research</t>
        </is>
      </c>
      <c r="G19" s="65" t="inlineStr">
        <is>
          <t>UNESCO, 2023</t>
        </is>
      </c>
      <c r="H19" s="65" t="inlineStr">
        <is>
          <t>Miao, Fengchun и Holmes, Wayne — точно.</t>
        </is>
      </c>
      <c r="I19" s="65" t="n">
        <v>1</v>
      </c>
      <c r="J19" s="65" t="inlineStr">
        <is>
          <t>Ниво 1 Източници!ред 19</t>
        </is>
      </c>
      <c r="K19" s="65" t="inlineStr">
        <is>
          <t>28.08.2026</t>
        </is>
      </c>
    </row>
    <row r="20" ht="76" customHeight="1" s="22">
      <c r="A20" s="65" t="n">
        <v>19</v>
      </c>
      <c r="B20" s="65" t="inlineStr">
        <is>
          <t>G. Kurdi, J. Leo, B. Parsia, U. Sattler, and S. Al-Emari, "A systematic review of automatic question generation for educational purposes," International Journal of Artificial Intelligence in Education, vol. 30, no. 1, pp. 121–204, 2020, doi: 10.1007/s40593-019-00186-y.</t>
        </is>
      </c>
      <c r="C20" s="65" t="inlineStr">
        <is>
          <t>Систематичен преглед</t>
        </is>
      </c>
      <c r="D20" s="65" t="inlineStr">
        <is>
          <t>DOI / издател</t>
        </is>
      </c>
      <c r="E20" s="68" t="inlineStr">
        <is>
          <t>Потвърдено</t>
        </is>
      </c>
      <c r="F20" s="66" t="inlineStr">
        <is>
          <t>https://link.springer.com/article/10.1007/s40593-019-00186-y</t>
        </is>
      </c>
      <c r="G20" s="65" t="inlineStr">
        <is>
          <t>Kurdi, Leo, Parsia, Sattler и Al-E‘mari, International Journal of Artificial Intelligence in Education, т. 30, кн. 1, с. 121–204, 2019. Прегледът обхваща 93 научни труда, публикувани между 2015 и началото на 2019 г.</t>
        </is>
      </c>
      <c r="H20" s="65" t="inlineStr">
        <is>
          <t>Числото 93 се потвърждава. ЗАБЕЛЕЖКА: записът в списъка трябва да се допълни с том, книжка и страници.</t>
        </is>
      </c>
      <c r="I20" s="65" t="n">
        <v>1</v>
      </c>
      <c r="J20" s="65" t="inlineStr">
        <is>
          <t>Гл.2–3 Ниво 1!ред 4</t>
        </is>
      </c>
      <c r="K20" s="65" t="inlineStr">
        <is>
          <t>29.08.2026</t>
        </is>
      </c>
    </row>
    <row r="21" ht="76" customHeight="1" s="22">
      <c r="A21" s="65" t="n">
        <v>20</v>
      </c>
      <c r="B21" s="65" t="inlineStr">
        <is>
          <t>G. W. Choi and J. Y. Seo, "Accessibility, usability, and universal design for learning: Discussion of three key LX/UX elements for inclusive learning design," TechTrends, vol. 68, no. 5, pp. 936–945, 2024, doi: 10.1007/s11528-024-00987-6.</t>
        </is>
      </c>
      <c r="C21" s="65" t="inlineStr">
        <is>
          <t>Статия</t>
        </is>
      </c>
      <c r="D21" s="65" t="inlineStr">
        <is>
          <t>DOI / издател</t>
        </is>
      </c>
      <c r="E21" s="68" t="inlineStr">
        <is>
          <t>Потвърдено</t>
        </is>
      </c>
      <c r="F21" s="66" t="inlineStr">
        <is>
          <t>https://link.springer.com/article/10.1007/s11528-024-00987-6</t>
        </is>
      </c>
      <c r="G21" s="65" t="inlineStr">
        <is>
          <t>TechTrends, т. 68, кн. 5, с. 936–945, 2024. „a truly inclusive learning (i.e. UDL) comes from the interplay between them“ — достъпност, използваемост и UDL се допълват, а не се изключват.</t>
        </is>
      </c>
      <c r="H21" s="65" t="inlineStr">
        <is>
          <t>Записът е верен и твърдението се потвърждава.</t>
        </is>
      </c>
      <c r="I21" s="65" t="n">
        <v>1</v>
      </c>
      <c r="J21" s="65" t="inlineStr">
        <is>
          <t>Гл.2–3 Ниво 1!ред 5</t>
        </is>
      </c>
      <c r="K21" s="65" t="inlineStr">
        <is>
          <t>29.08.2026</t>
        </is>
      </c>
    </row>
    <row r="22" ht="76" customHeight="1" s="22">
      <c r="A22" s="65" t="n">
        <v>21</v>
      </c>
      <c r="B22" s="65" t="inlineStr">
        <is>
          <t>G. W. Choi, S. H. Kim, D. Lee, and J. Moon, "Utilizing generative AI for instructional design: Exploring strengths, weaknesses, opportunities, and threats," TechTrends, vol. 68, no. 4, pp. 832–844, 2024, doi: 10.1007/s11528-024-00967-w.</t>
        </is>
      </c>
      <c r="C22" s="65" t="inlineStr">
        <is>
          <t>Списание</t>
        </is>
      </c>
      <c r="D22" s="65" t="inlineStr">
        <is>
          <t>DOI</t>
        </is>
      </c>
      <c r="E22" s="68" t="inlineStr">
        <is>
          <t>Потвърдено</t>
        </is>
      </c>
      <c r="F22" s="66" t="inlineStr">
        <is>
          <t>https://api.openalex.org/works/doi:10.1007/s11528-024-00967-w</t>
        </is>
      </c>
      <c r="G22" s="65" t="inlineStr">
        <is>
          <t>TechTrends, т. 68, кн. 4, с. 832–844, 2024</t>
        </is>
      </c>
      <c r="H22" s="65" t="inlineStr">
        <is>
          <t>G. W. Choi, S. H. Kim, D. Lee, J. Moon — точно.</t>
        </is>
      </c>
      <c r="I22" s="65" t="n">
        <v>4</v>
      </c>
      <c r="J22" s="65" t="inlineStr">
        <is>
          <t>Ниво 1 Източници!ред 20</t>
        </is>
      </c>
      <c r="K22" s="65" t="inlineStr">
        <is>
          <t>28.08.2026</t>
        </is>
      </c>
    </row>
    <row r="23" ht="76" customHeight="1" s="22">
      <c r="A23" s="65" t="n">
        <v>22</v>
      </c>
      <c r="B23" s="65" t="inlineStr">
        <is>
          <t>H. Wu, Z. Wang, and X. Wen, "Examining interactive AI-supported learning environments: The mediating role of AI metacognition and the moderating role of cognitive flexibility," Acta Psychologica, vol. 266, Art. no. 106874, 2026.</t>
        </is>
      </c>
      <c r="C23" s="65" t="inlineStr">
        <is>
          <t>Списание (Acta Psychologica)</t>
        </is>
      </c>
      <c r="D23" s="65" t="inlineStr">
        <is>
          <t>PDF в downloaded_pdfs/to-review</t>
        </is>
      </c>
      <c r="E23" s="68" t="inlineStr">
        <is>
          <t>Потвърдено</t>
        </is>
      </c>
      <c r="F23" s="66" t="inlineStr">
        <is>
          <t>https://doi.org/10.1016/j.actpsy.2026.106874</t>
        </is>
      </c>
      <c r="G23" s="65" t="inlineStr">
        <is>
          <t>„Acta Psychologica 266 (2026) 106874“; автори: Henan Wu, Zilin Wang, Xinyuan Wen</t>
        </is>
      </c>
      <c r="H23" s="65" t="inlineStr">
        <is>
          <t>1-s2.0-S000169182600675X-main.pdf — том 266, Art. no. 106874 и тримата автори съвпадат.</t>
        </is>
      </c>
      <c r="I23" s="65" t="n">
        <v>1</v>
      </c>
      <c r="J23" s="69" t="inlineStr">
        <is>
          <t>НОВ РЕД — липсваше</t>
        </is>
      </c>
      <c r="K23" s="65" t="inlineStr">
        <is>
          <t>31.08.2026</t>
        </is>
      </c>
    </row>
    <row r="24" ht="76" customHeight="1" s="22">
      <c r="A24" s="65" t="n">
        <v>23</v>
      </c>
      <c r="B24" s="65" t="inlineStr">
        <is>
          <t>H. Yao, W. Xu, J. Turnau, N. Kellam, and H. Wei, "Instructional agents: Reducing teaching faculty workload through multi-agent instructional design," in Proc. EACL 2026, vol. 1, 2026, pp. 4087–4109, doi: 10.18653/v1/2026.eacl-long.191.</t>
        </is>
      </c>
      <c r="C24" s="65" t="inlineStr">
        <is>
          <t>Конференция</t>
        </is>
      </c>
      <c r="D24" s="65" t="inlineStr">
        <is>
          <t>ACL Anthology</t>
        </is>
      </c>
      <c r="E24" s="68" t="inlineStr">
        <is>
          <t>Потвърдено</t>
        </is>
      </c>
      <c r="F24" s="66" t="inlineStr">
        <is>
          <t>https://aclanthology.org/2026.eacl-long.191/</t>
        </is>
      </c>
      <c r="G24" s="65" t="inlineStr">
        <is>
          <t>aclanthology.org/2026.eacl-long.191, т. 1, с. 4087–4109</t>
        </is>
      </c>
      <c r="H24" s="65" t="inlineStr">
        <is>
          <t>Съществува. Автори H. Yao, W. Xu, J. Turnau, N. Kellam, H. Wei; страниците съвпадат. DOI: 10.18653/v1/2026.eacl-long.191 — ДЕЙСТВИЕ: добави го. || НАНЕСЕНО В НИП 28.08: добави doi: 10.18653/v1/2026.eacl-long.191.</t>
        </is>
      </c>
      <c r="I24" s="65" t="n">
        <v>3</v>
      </c>
      <c r="J24" s="65" t="inlineStr">
        <is>
          <t>Ниво 1 Източници!ред 21</t>
        </is>
      </c>
      <c r="K24" s="65" t="inlineStr">
        <is>
          <t>28.08.2026</t>
        </is>
      </c>
    </row>
    <row r="25" ht="76" customHeight="1" s="22">
      <c r="A25" s="65" t="n">
        <v>24</v>
      </c>
      <c r="B25" s="65" t="inlineStr">
        <is>
          <t>H. Zhang, S. Wang, T.-H. Chen, Y. Zou, and A. E. Hassan, "An empirical study of obsolete answers on Stack Overflow," IEEE Transactions on Software Engineering, vol. 47, no. 4, pp. 850–862, 2021, doi: 10.1109/TSE.2019.2906315.</t>
        </is>
      </c>
      <c r="C25" s="65" t="inlineStr">
        <is>
          <t>Списание (IEEE TSE)</t>
        </is>
      </c>
      <c r="D25" s="65" t="inlineStr">
        <is>
          <t>arXiv препринт + DOI</t>
        </is>
      </c>
      <c r="E25" s="68" t="inlineStr">
        <is>
          <t>Потвърдено</t>
        </is>
      </c>
      <c r="F25" s="66" t="inlineStr">
        <is>
          <t>https://arxiv.org/abs/1903.12282</t>
        </is>
      </c>
      <c r="G25" s="65" t="inlineStr">
        <is>
          <t>„An Empirical Study of Obsolete Answers on Stack Overflow“ — Haoxiang Zhang, Shaowei Wang, Tse-Hsun (Peter) Chen, Ying Zou, Ahmed E. Hassan</t>
        </is>
      </c>
      <c r="H25" s="65" t="inlineStr">
        <is>
          <t>1903.12282v1.pdf — заглавие и петимата автори съвпадат. Томът/страниците в TSE се потвърждават от DOI записа.</t>
        </is>
      </c>
      <c r="I25" s="65" t="n">
        <v>1</v>
      </c>
      <c r="J25" s="69" t="inlineStr">
        <is>
          <t>НОВ РЕД — липсваше</t>
        </is>
      </c>
      <c r="K25" s="65" t="inlineStr">
        <is>
          <t>31.08.2026</t>
        </is>
      </c>
    </row>
    <row r="26" ht="76" customHeight="1" s="22">
      <c r="A26" s="65" t="n">
        <v>25</v>
      </c>
      <c r="B26" s="65" t="inlineStr">
        <is>
          <t>J. Biggs, "Enhancing teaching through constructive alignment," Higher Education, vol. 32, no. 3, pp. 347–364, 1996, doi: 10.1007/BF00138871.</t>
        </is>
      </c>
      <c r="C26" s="65" t="inlineStr">
        <is>
          <t>Книга</t>
        </is>
      </c>
      <c r="D26" s="65" t="inlineStr">
        <is>
          <t>Каталог на издателя/ISBN</t>
        </is>
      </c>
      <c r="E26" s="68" t="inlineStr">
        <is>
          <t>Потвърдено</t>
        </is>
      </c>
      <c r="F26" s="66" t="inlineStr">
        <is>
          <t>https://www.mheducation.co.uk/teaching-for-quality-learning-at-university-5e-9780335250820-emea-group</t>
        </is>
      </c>
      <c r="G26" s="65" t="inlineStr">
        <is>
          <t>ISBN 9780335250820, McGraw Hill / Open University Press || НЯМА ДОСТЪП. ПРЕПОРЪКА: замяна с първоизточника на конструктивното съгласуване — Biggs, J. (1996). „Enhancing teaching through constructive alignment.“ Higher Education, 32(3), 347–364. Статия, не учебник, намира се далеч по-лесно. || ПРОВЕРЕН СВАЛЕНИЯТ ФАЙЛ: Enhancing_Teaching_Through_Constructive_Alignment.pdf е ПРЕЗЕНТАЦИЯ на PowerPoint от 2009 г. („Slide 1“, Acrobat PDFMaker for PowerPoint), 2332 думи слайдов текст, без резюме и без списък с литература. НЕ Е годна за цитиране в научен труд. Търси се статията Biggs (1996), Higher Education, 32(3), 347–364. || РЕШЕНО: свален е правилният файл Biggs1996_Article_EnhancingTeachingThroughConstr.pdf, Higher Education 32: 347–364. Учебникът от 2022 г. отпада.</t>
        </is>
      </c>
      <c r="H26" s="65" t="inlineStr">
        <is>
          <t>5-о изд., Biggs, Tang, Kennedy. Годината 2022 да се сверя в каталога на издателя при финалната редакция.</t>
        </is>
      </c>
      <c r="I26" s="65" t="n">
        <v>1</v>
      </c>
      <c r="J26" s="65" t="inlineStr">
        <is>
          <t>Ниво 1 Източници!ред 24</t>
        </is>
      </c>
      <c r="K26" s="65" t="inlineStr">
        <is>
          <t>28.08.2026</t>
        </is>
      </c>
    </row>
    <row r="27" ht="76" customHeight="1" s="22">
      <c r="A27" s="65" t="n">
        <v>26</v>
      </c>
      <c r="B27" s="65" t="inlineStr">
        <is>
          <t>J. Sweller, J. J. G. van Merriënboer, and F. Paas, "Cognitive architecture and instructional design: 20 years later," Educational Psychology Review, vol. 31, no. 2, pp. 261–292, 2019, doi: 10.1007/s10648-019-09465-5.</t>
        </is>
      </c>
      <c r="C27" s="65" t="inlineStr">
        <is>
          <t>Списание</t>
        </is>
      </c>
      <c r="D27" s="65" t="inlineStr">
        <is>
          <t>DOI</t>
        </is>
      </c>
      <c r="E27" s="68" t="inlineStr">
        <is>
          <t>Потвърдено</t>
        </is>
      </c>
      <c r="F27" s="66" t="inlineStr">
        <is>
          <t>https://api.openalex.org/works/doi:10.1007/s10648-019-09465-5</t>
        </is>
      </c>
      <c r="G27" s="65" t="inlineStr">
        <is>
          <t>Educational Psychology Review, т. 31, кн. 2, с. 261–292, 2019</t>
        </is>
      </c>
      <c r="H27" s="65" t="inlineStr">
        <is>
          <t>Точно съвпадение.</t>
        </is>
      </c>
      <c r="I27" s="65" t="n">
        <v>1</v>
      </c>
      <c r="J27" s="65" t="inlineStr">
        <is>
          <t>Ниво 1 Източници!ред 25</t>
        </is>
      </c>
      <c r="K27" s="65" t="inlineStr">
        <is>
          <t>28.08.2026</t>
        </is>
      </c>
    </row>
    <row r="28" ht="76" customHeight="1" s="22">
      <c r="A28" s="65" t="n">
        <v>27</v>
      </c>
      <c r="B28" s="65" t="inlineStr">
        <is>
          <t>L. Huang et al., "A survey on hallucination in large language models: Principles, taxonomy, challenges, and open questions," ACM Transactions on Information Systems, vol. 43, no. 2, pp. 1–55, 2025, doi: 10.1145/3703155.</t>
        </is>
      </c>
      <c r="C28" s="65" t="inlineStr">
        <is>
          <t>Списание</t>
        </is>
      </c>
      <c r="D28" s="65" t="inlineStr">
        <is>
          <t>DOI</t>
        </is>
      </c>
      <c r="E28" s="68" t="inlineStr">
        <is>
          <t>Потвърдено</t>
        </is>
      </c>
      <c r="F28" s="66" t="inlineStr">
        <is>
          <t>https://arxiv.org/abs/2311.05232</t>
        </is>
      </c>
      <c r="G28" s="65" t="inlineStr">
        <is>
          <t>ACM TOIS, т. 43, кн. 2, с. 1–55</t>
        </is>
      </c>
      <c r="H28" s="65" t="inlineStr">
        <is>
          <t>Онлайн 2024, книжка 2025 — годината 2025 в записа е защитима.</t>
        </is>
      </c>
      <c r="I28" s="65" t="n">
        <v>3</v>
      </c>
      <c r="J28" s="65" t="inlineStr">
        <is>
          <t>Ниво 1 Източници!ред 26</t>
        </is>
      </c>
      <c r="K28" s="65" t="inlineStr">
        <is>
          <t>28.08.2026</t>
        </is>
      </c>
    </row>
    <row r="29" ht="76" customHeight="1" s="22">
      <c r="A29" s="65" t="n">
        <v>28</v>
      </c>
      <c r="B29" s="65" t="inlineStr">
        <is>
          <t>L. Zheng et al., "Judging LLM-as-a-judge with MT-Bench and Chatbot Arena," in Advances in Neural Information Processing Systems 36 (NeurIPS 2023), Datasets and Benchmarks Track, 2023. [Online]. Available: https://arxiv.org/abs/2306.05685</t>
        </is>
      </c>
      <c r="C29" s="65" t="inlineStr">
        <is>
          <t>Конференция</t>
        </is>
      </c>
      <c r="D29" s="65" t="inlineStr">
        <is>
          <t>arXiv</t>
        </is>
      </c>
      <c r="E29" s="68" t="inlineStr">
        <is>
          <t>Потвърдено</t>
        </is>
      </c>
      <c r="F29" s="66" t="inlineStr">
        <is>
          <t>https://arxiv.org/html/2306.05685v4</t>
        </is>
      </c>
      <c r="G29" s="65" t="inlineStr">
        <is>
          <t>arXiv:2306.05685, NeurIPS 2023 D&amp;B</t>
        </is>
      </c>
      <c r="H29" s="65" t="inlineStr">
        <is>
          <t>13 автора, първи Lianmin Zheng — точно.</t>
        </is>
      </c>
      <c r="I29" s="65" t="n">
        <v>2</v>
      </c>
      <c r="J29" s="65" t="inlineStr">
        <is>
          <t>Ниво 1 Източници!ред 27</t>
        </is>
      </c>
      <c r="K29" s="65" t="inlineStr">
        <is>
          <t>28.08.2026</t>
        </is>
      </c>
    </row>
    <row r="30" ht="76" customHeight="1" s="22">
      <c r="A30" s="65" t="n">
        <v>29</v>
      </c>
      <c r="B30" s="65" t="inlineStr">
        <is>
          <t>M. D. Merrill, "First principles of instruction," Educational Technology Research and Development, vol. 50, no. 3, pp. 43–59, 2002, doi: 10.1007/BF02505024.</t>
        </is>
      </c>
      <c r="C30" s="65" t="inlineStr">
        <is>
          <t>Списание</t>
        </is>
      </c>
      <c r="D30" s="65" t="inlineStr">
        <is>
          <t>DOI</t>
        </is>
      </c>
      <c r="E30" s="68" t="inlineStr">
        <is>
          <t>Потвърдено (ниво на статия)</t>
        </is>
      </c>
      <c r="F30" s="66" t="inlineStr">
        <is>
          <t>https://api.openalex.org/works/doi:10.1007/bf02505024</t>
        </is>
      </c>
      <c r="G30" s="65" t="inlineStr">
        <is>
          <t>ETR&amp;D, т. 50, кн. 3, с. 43–59, 2002</t>
        </is>
      </c>
      <c r="H30" s="65" t="inlineStr">
        <is>
          <t>Точно съвпадение. Локаторът с. 44–45 остава за Ниво 2.</t>
        </is>
      </c>
      <c r="I30" s="65" t="n">
        <v>3</v>
      </c>
      <c r="J30" s="65" t="inlineStr">
        <is>
          <t>Ниво 1 Източници!ред 28</t>
        </is>
      </c>
      <c r="K30" s="65" t="inlineStr">
        <is>
          <t>28.08.2026</t>
        </is>
      </c>
    </row>
    <row r="31" ht="76" customHeight="1" s="22">
      <c r="A31" s="65" t="n">
        <v>30</v>
      </c>
      <c r="B31" s="65" t="inlineStr">
        <is>
          <t>M. Hadra, K. Cambridge, and M. Mesbah, "Evaluating the accuracy and reliability of AI content detectors in academic contexts," International Journal for Educational Integrity, vol. 22, Art. no. 4, 2026, doi: 10.1007/s40979-026-00213-1.</t>
        </is>
      </c>
      <c r="C31" s="65" t="inlineStr">
        <is>
          <t>Статия</t>
        </is>
      </c>
      <c r="D31" s="65" t="inlineStr">
        <is>
          <t>DOI / издател</t>
        </is>
      </c>
      <c r="E31" s="68" t="inlineStr">
        <is>
          <t>Потвърдено</t>
        </is>
      </c>
      <c r="F31" s="66" t="inlineStr">
        <is>
          <t>https://link.springer.com/article/10.1007/s40979-026-00213-1</t>
        </is>
      </c>
      <c r="G31" s="65" t="inlineStr">
        <is>
          <t>„Turnitin demonstrated strong performance in identifying Human-generated texts… but its specificity for this class was comparatively low, indicating frequent misclassification“; „its sensitivity was substantially lower, suggesting that many AI texts were not correctly identified“; „paraphrasing severely degrades detector reliability“; риск от „misclassifying legitimate EFL student work“. Точност: Originality 0,69 срещу Turnitin 0,61.</t>
        </is>
      </c>
      <c r="H31" s="65" t="inlineStr">
        <is>
          <t>Потвърдено изцяло. ЗАБЕЛЕЖКА: записът дава „Art. no. 4“, а OpenAlex отчита кн. 1 — да се сверя по самата статия.</t>
        </is>
      </c>
      <c r="I31" s="65" t="n">
        <v>1</v>
      </c>
      <c r="J31" s="65" t="inlineStr">
        <is>
          <t>Гл.2–3 Ниво 1!ред 6</t>
        </is>
      </c>
      <c r="K31" s="65" t="inlineStr">
        <is>
          <t>29.08.2026</t>
        </is>
      </c>
    </row>
    <row r="32" ht="76" customHeight="1" s="22">
      <c r="A32" s="65" t="n">
        <v>31</v>
      </c>
      <c r="B32" s="65" t="inlineStr">
        <is>
          <t>M. Perkins, "Academic integrity considerations of AI large language models in the post-pandemic era: ChatGPT and beyond," Journal of University Teaching &amp; Learning Practice, vol. 20, no. 2, Art. no. 7, 2023, doi: 10.53761/1.20.02.07.</t>
        </is>
      </c>
      <c r="C32" s="65" t="inlineStr">
        <is>
          <t>Статия</t>
        </is>
      </c>
      <c r="D32" s="65" t="inlineStr">
        <is>
          <t>DOI / издател</t>
        </is>
      </c>
      <c r="E32" s="68" t="inlineStr">
        <is>
          <t>Потвърдено</t>
        </is>
      </c>
      <c r="F32" s="66" t="inlineStr">
        <is>
          <t>https://openjournals.libs.uga.edu/jutlp/article/view/3212</t>
        </is>
      </c>
      <c r="G32" s="65" t="inlineStr">
        <is>
          <t>Journal of University Teaching and Learning Practice, т. 20, кн. 2, чл. 07, 2023. Изводът е, че институциите трябва да актуализират политиките си за академична почтеност и че критично е не самото използване на инструменти, а начинът на приложението им.</t>
        </is>
      </c>
      <c r="H32" s="65" t="inlineStr">
        <is>
          <t>Записът е верен. Твърдението за изместване към регулирана и декларирана употреба се потвърждава по същество.</t>
        </is>
      </c>
      <c r="I32" s="65" t="n">
        <v>1</v>
      </c>
      <c r="J32" s="65" t="inlineStr">
        <is>
          <t>Гл.2–3 Ниво 1!ред 7</t>
        </is>
      </c>
      <c r="K32" s="65" t="inlineStr">
        <is>
          <t>29.08.2026</t>
        </is>
      </c>
    </row>
    <row r="33" ht="76" customHeight="1" s="22">
      <c r="A33" s="65" t="n">
        <v>32</v>
      </c>
      <c r="B33" s="65" t="inlineStr">
        <is>
          <t>N. F. Liu et al., "Lost in the middle: How language models use long contexts," Transactions of the Association for Computational Linguistics, vol. 12, pp. 157–173, 2024, doi: 10.1162/tacl_a_00638.</t>
        </is>
      </c>
      <c r="C33" s="65" t="inlineStr">
        <is>
          <t>Списание (TACL)</t>
        </is>
      </c>
      <c r="D33" s="65" t="inlineStr">
        <is>
          <t>arXiv препринт + DOI</t>
        </is>
      </c>
      <c r="E33" s="68" t="inlineStr">
        <is>
          <t>Потвърдено</t>
        </is>
      </c>
      <c r="F33" s="66" t="inlineStr">
        <is>
          <t>https://doi.org/10.1162/tacl_a_00638</t>
        </is>
      </c>
      <c r="G33" s="65" t="inlineStr">
        <is>
          <t>„Lost in the Middle: How Language Models Use Long Contexts“ — Nelson F. Liu, Kevin Lin, John Hewitt, Ashwin Paranjape, Michele Bevilacqua, Fabio Petroni, Percy Liang</t>
        </is>
      </c>
      <c r="H33" s="65" t="inlineStr">
        <is>
          <t>2307.03172v3.pdf — заглавие и водещ автор съвпадат.</t>
        </is>
      </c>
      <c r="I33" s="65" t="n">
        <v>1</v>
      </c>
      <c r="J33" s="69" t="inlineStr">
        <is>
          <t>НОВ РЕД — липсваше</t>
        </is>
      </c>
      <c r="K33" s="65" t="inlineStr">
        <is>
          <t>31.08.2026</t>
        </is>
      </c>
    </row>
    <row r="34" ht="76" customHeight="1" s="22">
      <c r="A34" s="65" t="n">
        <v>33</v>
      </c>
      <c r="B34" s="65" t="inlineStr">
        <is>
          <t>O. Zawacki-Richter, V. I. Marín, M. Bond, and F. Gouverneur, "Systematic review of research on artificial intelligence applications in higher education — where are the educators?," International Journal of Educational Technology in Higher Education, vol. 16, Art. no. 39, 2019, doi: 10.1186/s41239-019-0171-0.</t>
        </is>
      </c>
      <c r="C34" s="65" t="inlineStr">
        <is>
          <t>Списание</t>
        </is>
      </c>
      <c r="D34" s="65" t="inlineStr">
        <is>
          <t>DOI; отворен достъп</t>
        </is>
      </c>
      <c r="E34" s="68" t="inlineStr">
        <is>
          <t>Потвърдено</t>
        </is>
      </c>
      <c r="F34" s="66" t="inlineStr">
        <is>
          <t>https://link.springer.com/article/10.1186/s41239-019-0171-0</t>
        </is>
      </c>
      <c r="G34" s="65" t="inlineStr">
        <is>
          <t>IJETHE, т. 16, чл. 39, 2019</t>
        </is>
      </c>
      <c r="H34" s="65" t="inlineStr">
        <is>
          <t>Четиримата автори съвпадат. Периодът 2007–2018 е потвърден (146 от 2656 публикации).</t>
        </is>
      </c>
      <c r="I34" s="65" t="n">
        <v>1</v>
      </c>
      <c r="J34" s="65" t="inlineStr">
        <is>
          <t>Ниво 1 Източници!ред 29</t>
        </is>
      </c>
      <c r="K34" s="65" t="inlineStr">
        <is>
          <t>28.08.2026</t>
        </is>
      </c>
    </row>
    <row r="35" ht="76" customHeight="1" s="22">
      <c r="A35" s="65" t="n">
        <v>34</v>
      </c>
      <c r="B35" s="65" t="inlineStr">
        <is>
          <t>P. Denny, H. Khosravi, A. Hellas, J. Leinonen, and S. Sarsa, "Can we trust AI-generated educational content? Comparative analysis of human and AI-generated learning resources," 2023, arXiv:2306.10509.</t>
        </is>
      </c>
      <c r="C35" s="65" t="inlineStr">
        <is>
          <t>Статия</t>
        </is>
      </c>
      <c r="D35" s="65" t="inlineStr">
        <is>
          <t>DOI / издател</t>
        </is>
      </c>
      <c r="E35" s="69" t="inlineStr">
        <is>
          <t>Частично потвърдено</t>
        </is>
      </c>
      <c r="F35" s="66" t="inlineStr">
        <is>
          <t>https://arxiv.org/abs/2306.10509</t>
        </is>
      </c>
      <c r="G35" s="65" t="inlineStr">
        <is>
          <t>„the quality of AI-generated resources, as perceived by students, is equivalent to the quality of resources generated by their peers“. Абстрактът не дава числа.</t>
        </is>
      </c>
      <c r="H35" s="65" t="inlineStr">
        <is>
          <t>ВАЖНО РАЗЛИЧИЕ: източникът твърди РАВНОСТОЙНО ВЪЗПРИЕМАНО КАЧЕСТВО, а не „неразличимост по повърхностни белези“. Второто е по-силно и не се подкрепя. Виж редове 6 и 25 на Ниво 2.</t>
        </is>
      </c>
      <c r="I35" s="65" t="n">
        <v>2</v>
      </c>
      <c r="J35" s="65" t="inlineStr">
        <is>
          <t>Гл.2–3 Ниво 1!ред 8</t>
        </is>
      </c>
      <c r="K35" s="65" t="inlineStr">
        <is>
          <t>29.08.2026</t>
        </is>
      </c>
    </row>
    <row r="36" ht="76" customHeight="1" s="22">
      <c r="A36" s="65" t="n">
        <v>35</v>
      </c>
      <c r="B36" s="65" t="inlineStr">
        <is>
          <t>Plain Language — Part 1: Governing Principles and Guidelines, ISO 24495-1:2023, International Organization for Standardization, Geneva, Switzerland, 2023.</t>
        </is>
      </c>
      <c r="C36" s="65" t="inlineStr">
        <is>
          <t>Стандарт</t>
        </is>
      </c>
      <c r="D36" s="65" t="inlineStr">
        <is>
          <t>ISO 24495-1:2023 — платен достъп</t>
        </is>
      </c>
      <c r="E36" s="68" t="inlineStr">
        <is>
          <t>Потвърдено</t>
        </is>
      </c>
      <c r="F36" s="66" t="inlineStr">
        <is>
          <t>https://webstore.ansi.org/preview-pages/ISO/preview_ISO+24495-1-2023.pdf</t>
        </is>
      </c>
      <c r="G36" s="65" t="inlineStr">
        <is>
          <t>Четирите принципа: 1) Relevant — „Readers get what they need“; 2) Findable — „Readers can easily find what they need“; 3) Understandable — „Readers can easily understand what they find“; 4) Usable — „Readers can easily use the information“.</t>
        </is>
      </c>
      <c r="H36" s="65" t="inlineStr">
        <is>
          <t>Потвърдено чрез свободната предварителна страница на стандарта. Четирите принципа съвпадат точно с формулировката в текста.</t>
        </is>
      </c>
      <c r="I36" s="65" t="n">
        <v>1</v>
      </c>
      <c r="J36" s="65" t="inlineStr">
        <is>
          <t>Гл.2–3 Ниво 1!ред 9</t>
        </is>
      </c>
      <c r="K36" s="65" t="inlineStr">
        <is>
          <t>29.08.2026</t>
        </is>
      </c>
    </row>
    <row r="37" ht="76" customHeight="1" s="22">
      <c r="A37" s="65" t="n">
        <v>36</v>
      </c>
      <c r="B37" s="65" t="inlineStr">
        <is>
          <t>Q. Huang, C. Lv, L. Lu, and S. Tu, "Evaluating the quality of AI-generated digital educational resources for university teaching and learning," Systems, vol. 13, no. 3, Art. no. 174, 2025, doi: 10.3390/systems13030174.</t>
        </is>
      </c>
      <c r="C37" s="65" t="inlineStr">
        <is>
          <t>Статия</t>
        </is>
      </c>
      <c r="D37" s="65" t="inlineStr">
        <is>
          <t>DOI / издател</t>
        </is>
      </c>
      <c r="E37" s="69" t="inlineStr">
        <is>
          <t>Частично потвърдено</t>
        </is>
      </c>
      <c r="F37" s="66" t="inlineStr">
        <is>
          <t>https://www.mdpi.com/2079-8954/13/3/174</t>
        </is>
      </c>
      <c r="G37" s="65" t="inlineStr">
        <is>
          <t>„this paper presents an evaluation index system for AI-generated digital educational resources by combining the Delphi method and the Analytic Hierarchy Process“. Системата има ЧЕТИРИ измерения и двадесет показателя: съдържателни (тегло 0,503), на изразяването (0,257), потребителски (0,137) и технически (0,109).</t>
        </is>
      </c>
      <c r="H37" s="65" t="inlineStr">
        <is>
          <t>РАЗЛИЧИЕ: текстът говори за „съдържателни, педагогически и технологични“ измерения. Източникът има четири измерения и сред тях НЯМА педагогическо — има „изразяване“ и „потребителски“. Освен това методът е Delphi плюс AHP, което заслужава да се назове.</t>
        </is>
      </c>
      <c r="I37" s="65" t="n">
        <v>1</v>
      </c>
      <c r="J37" s="65" t="inlineStr">
        <is>
          <t>Гл.2–3 Ниво 1!ред 10</t>
        </is>
      </c>
      <c r="K37" s="65" t="inlineStr">
        <is>
          <t>29.08.2026</t>
        </is>
      </c>
    </row>
    <row r="38" ht="76" customHeight="1" s="22">
      <c r="A38" s="65" t="n">
        <v>37</v>
      </c>
      <c r="B38" s="65" t="inlineStr">
        <is>
          <t>R. C. Clark and R. E. Mayer, e-Learning and the Science of Instruction: Proven Guidelines for Consumers and Designers of Multimedia Learning, 4th ed. Hoboken, NJ, USA: Wiley, 2016.</t>
        </is>
      </c>
      <c r="C38" s="65" t="inlineStr">
        <is>
          <t>Книга (Wiley, 4-о изд.)</t>
        </is>
      </c>
      <c r="D38" s="65" t="inlineStr">
        <is>
          <t>Локален PDF: docs/e-Learning and the Science of Instruction… (PDFDrive)</t>
        </is>
      </c>
      <c r="E38" s="68" t="inlineStr">
        <is>
          <t>Потвърдено</t>
        </is>
      </c>
      <c r="F38" s="66" t="inlineStr">
        <is>
          <t>https://www.wiley.com/en-us/e+Learning+and+the+Science+of+Instruction-p-9781119158660</t>
        </is>
      </c>
      <c r="G38" s="65" t="inlineStr">
        <is>
          <t>„Copyright © 2016 by Ruth Colvin Clark and Richard E. Mayer“; „Description: Fourth edition. | Hoboken : Wiley, 2016“. Гл. 1: „We define e-learning as instruction delivered on a digital device… intended to support learning“; „e-Learning courses include both content (that is, information) and instructional methods (that is, techniques)“. Гл. 13: „Include sufficient practice to achieve the learning objective“; „Require learners to respond in job-realistic ways“; „Incorporate effective feedback to learner responses“; раздел „Provide Explanatory Feedback“.</t>
        </is>
      </c>
      <c r="H38" s="65" t="inlineStr">
        <is>
          <t>Статусът „не се потвърждава“ идваше от стария локатор „гл. 21“, който изданието няма (то има 18 глави). 31.08.2026: изданието е уточнено като 4-о (Wiley, 2016) и локаторите са сверени по изтегления PDF — гл. 1 и гл. 13.</t>
        </is>
      </c>
      <c r="I38" s="65" t="n">
        <v>2</v>
      </c>
      <c r="J38" s="65" t="inlineStr">
        <is>
          <t>Ниво 1 Източници!ред 31</t>
        </is>
      </c>
      <c r="K38" s="65" t="inlineStr">
        <is>
          <t>31.08.2026</t>
        </is>
      </c>
    </row>
    <row r="39" ht="76" customHeight="1" s="22">
      <c r="A39" s="65" t="n">
        <v>38</v>
      </c>
      <c r="B39" s="65" t="inlineStr">
        <is>
          <t>R. E. Mayer, "Evidence-based principles for how to design effective instructional videos," Journal of Applied Research in Memory and Cognition, vol. 10, no. 2, pp. 229–240, 2021, doi: 10.1016/j.jarmac.2021.03.007.</t>
        </is>
      </c>
      <c r="C39" s="65" t="inlineStr">
        <is>
          <t>Списание (JARMAC)</t>
        </is>
      </c>
      <c r="D39" s="65" t="inlineStr">
        <is>
          <t>PDF в downloaded_pdfs</t>
        </is>
      </c>
      <c r="E39" s="68" t="inlineStr">
        <is>
          <t>Потвърдено</t>
        </is>
      </c>
      <c r="F39" s="66" t="inlineStr">
        <is>
          <t>https://doi.org/10.1016/j.jarmac.2021.03.007</t>
        </is>
      </c>
      <c r="G39" s="65" t="inlineStr">
        <is>
          <t>„Journal of Applied Research in Memory and Cognition 10 (2021) 229–240 … Evidence-Based Principles for How to Design Effective Instructional Videos … Richard E. Mayer“</t>
        </is>
      </c>
      <c r="H39" s="65" t="inlineStr">
        <is>
          <t>1-s2.0-S2211368121000231-main.pdf — том, година и страници 229–240 съвпадат точно.</t>
        </is>
      </c>
      <c r="I39" s="65" t="n">
        <v>6</v>
      </c>
      <c r="J39" s="69" t="inlineStr">
        <is>
          <t>НОВ РЕД — липсваше</t>
        </is>
      </c>
      <c r="K39" s="65" t="inlineStr">
        <is>
          <t>31.08.2026</t>
        </is>
      </c>
    </row>
    <row r="40" ht="76" customHeight="1" s="22">
      <c r="A40" s="65" t="n">
        <v>39</v>
      </c>
      <c r="B40" s="65" t="inlineStr">
        <is>
          <t>Regulation (EU) 2024/1689 of the European Parliament and of the Council of 13 June 2024 laying down harmonised rules on artificial intelligence (Artificial Intelligence Act), OJ L, 2024/1689, 12.7.2024. [Online]. Available: https://eur-lex.europa.eu/eli/reg/2024/1689/oj</t>
        </is>
      </c>
      <c r="C40" s="65" t="inlineStr">
        <is>
          <t>Правен акт</t>
        </is>
      </c>
      <c r="D40" s="65" t="inlineStr">
        <is>
          <t>EUR-Lex</t>
        </is>
      </c>
      <c r="E40" s="68" t="inlineStr">
        <is>
          <t>Потвърдено</t>
        </is>
      </c>
      <c r="F40" s="66" t="inlineStr">
        <is>
          <t>https://eur-lex.europa.eu/eli/reg/2024/1689/oj</t>
        </is>
      </c>
      <c r="G40" s="65" t="inlineStr">
        <is>
          <t>Регламент (ЕС) 2024/1689, OJ L 2024/1689, 12.7.2024</t>
        </is>
      </c>
      <c r="H40" s="65" t="inlineStr">
        <is>
          <t>Приет 13.06.2024 — съвпада. Членът за прозрачност (чл. 50) да се посочи в текста (Ниво 2, ред 50).</t>
        </is>
      </c>
      <c r="I40" s="65" t="n">
        <v>1</v>
      </c>
      <c r="J40" s="65" t="inlineStr">
        <is>
          <t>Ниво 1 Източници!ред 32</t>
        </is>
      </c>
      <c r="K40" s="65" t="inlineStr">
        <is>
          <t>28.08.2026</t>
        </is>
      </c>
    </row>
    <row r="41" ht="76" customHeight="1" s="22">
      <c r="A41" s="65" t="n">
        <v>40</v>
      </c>
      <c r="B41" s="65" t="inlineStr">
        <is>
          <t>S. G. Ramezani and Z. S. Mostafavi, "Developing and validating a comprehensive scale for accreditation standards and quality assurance in e-learning institutions," Education and Information Technologies, vol. 30, no. 15, pp. 21139–21187, 2025, doi: 10.1007/s10639-025-13587-5.</t>
        </is>
      </c>
      <c r="C41" s="65" t="inlineStr">
        <is>
          <t>Списание</t>
        </is>
      </c>
      <c r="D41" s="65" t="inlineStr">
        <is>
          <t>DOI</t>
        </is>
      </c>
      <c r="E41" s="68" t="inlineStr">
        <is>
          <t>Потвърдено</t>
        </is>
      </c>
      <c r="F41" s="66" t="inlineStr">
        <is>
          <t>https://api.openalex.org/works/doi:10.1007/s10639-025-13587-5</t>
        </is>
      </c>
      <c r="G41" s="65" t="inlineStr">
        <is>
          <t>Education and Information Technologies, т. 30, кн. 15, с. 21139–21187, 2025</t>
        </is>
      </c>
      <c r="H41" s="65" t="inlineStr">
        <is>
          <t>Точно съвпадение.</t>
        </is>
      </c>
      <c r="I41" s="65" t="n">
        <v>1</v>
      </c>
      <c r="J41" s="65" t="inlineStr">
        <is>
          <t>Ниво 1 Източници!ред 33</t>
        </is>
      </c>
      <c r="K41" s="65" t="inlineStr">
        <is>
          <t>28.08.2026</t>
        </is>
      </c>
    </row>
    <row r="42" ht="76" customHeight="1" s="22">
      <c r="A42" s="65" t="n">
        <v>41</v>
      </c>
      <c r="B42" s="65" t="inlineStr">
        <is>
          <t>S. J. Warren, E. Boston Vogt, B. Tincher, and J. Yang, "Enhancing quality assurance through strategic artificial intelligence integration: A framework for higher education digital transformation," Quality Assurance in Education, vol. 34, no. 2, pp. 205–222, 2026, doi: 10.1108/QAE-09-2024-0183.</t>
        </is>
      </c>
      <c r="C42" s="65" t="inlineStr">
        <is>
          <t>Списание</t>
        </is>
      </c>
      <c r="D42" s="65" t="inlineStr">
        <is>
          <t>Сайт на Emerald; търсене по заглавие</t>
        </is>
      </c>
      <c r="E42" s="68" t="inlineStr">
        <is>
          <t>Потвърдено</t>
        </is>
      </c>
      <c r="F42" s="66" t="inlineStr">
        <is>
          <t>https://www.emerald.com/qae/article/34/2/205/1302250/Enhancing-quality-assurance-through-strategic</t>
        </is>
      </c>
      <c r="G42" s="65" t="inlineStr">
        <is>
          <t>QAE, т. 34, кн. 2, с. 205–222, 2026</t>
        </is>
      </c>
      <c r="H42" s="65" t="inlineStr">
        <is>
          <t>Съществува. Автори S. J. Warren, E. Boston Vogt, B. Tincher, J. Yang. DOI: 10.1108/QAE-09-2024-0183 — ДЕЙСТВИЕ: добави го, това беше единственият запис на списание без DOI. || НАНЕСЕНО В НИП 28.08: добави doi: 10.1108/QAE-09-2024-0183.</t>
        </is>
      </c>
      <c r="I42" s="65" t="n">
        <v>3</v>
      </c>
      <c r="J42" s="65" t="inlineStr">
        <is>
          <t>Ниво 1 Източници!ред 34</t>
        </is>
      </c>
      <c r="K42" s="65" t="inlineStr">
        <is>
          <t>28.08.2026</t>
        </is>
      </c>
    </row>
    <row r="43" ht="76" customHeight="1" s="22">
      <c r="A43" s="65" t="n">
        <v>42</v>
      </c>
      <c r="B43" s="65" t="inlineStr">
        <is>
          <t>UNESCO, Recommendation on Open Educational Resources (OER). Paris, France: UNESCO, 2019. [Online]. Available: https://unesdoc.unesco.org/ark:/48223/pf0000383205</t>
        </is>
      </c>
      <c r="C43" s="65" t="inlineStr">
        <is>
          <t>Препоръка (ЮНЕСКО)</t>
        </is>
      </c>
      <c r="D43" s="65" t="inlineStr">
        <is>
          <t>UNESDOC</t>
        </is>
      </c>
      <c r="E43" s="68" t="inlineStr">
        <is>
          <t>Потвърдено</t>
        </is>
      </c>
      <c r="F43" s="66" t="inlineStr">
        <is>
          <t>https://unesdoc.unesco.org/ark:/48223/pf0000383205</t>
        </is>
      </c>
      <c r="G43" s="65" t="inlineStr">
        <is>
          <t>UNESCO, 2019</t>
        </is>
      </c>
      <c r="H43" s="65" t="inlineStr">
        <is>
          <t>Документът съществува. Самата ark-връзка да се отвори при финалната редакция — страницата се зарежда динамично и не се провери автоматично.</t>
        </is>
      </c>
      <c r="I43" s="65" t="n">
        <v>1</v>
      </c>
      <c r="J43" s="65" t="inlineStr">
        <is>
          <t>Ниво 1 Източници!ред 35</t>
        </is>
      </c>
      <c r="K43" s="65" t="inlineStr">
        <is>
          <t>28.08.2026</t>
        </is>
      </c>
    </row>
    <row r="44" ht="76" customHeight="1" s="22">
      <c r="A44" s="65" t="n">
        <v>43</v>
      </c>
      <c r="B44" s="65" t="inlineStr">
        <is>
          <t>W. H. Walters and E. I. Wilder, "Fabrication and errors in the bibliographic citations generated by ChatGPT," Scientific Reports, vol. 13, 2023, doi: 10.1038/s41598-023-41032-5.</t>
        </is>
      </c>
      <c r="C44" s="65" t="inlineStr">
        <is>
          <t>Статия</t>
        </is>
      </c>
      <c r="D44" s="65" t="inlineStr">
        <is>
          <t>DOI / издател</t>
        </is>
      </c>
      <c r="E44" s="68" t="inlineStr">
        <is>
          <t>Потвърдено</t>
        </is>
      </c>
      <c r="F44" s="66" t="inlineStr">
        <is>
          <t>https://www.nature.com/articles/s41598-023-41032-5</t>
        </is>
      </c>
      <c r="G44" s="65" t="inlineStr">
        <is>
          <t>„55% of the GPT-3.5 citations but just 18% of the GPT-4 citations are fabricated“; „43% of the real (non-fabricated) GPT-3.5 citations but just 24% of the real GPT-4 citations include substantive citation errors“. Scientific Reports, т. 13, чл. 14045, 2023.</t>
        </is>
      </c>
      <c r="H44" s="65" t="inlineStr">
        <is>
          <t>И трите числа в текста се потвърждават дословно. ПРЕПОРЪКА: „съществена част съдържа значими грешки“ да се замени с конкретните 43 и 24 на сто — числата са налични и са по-силни от общата формулировка.</t>
        </is>
      </c>
      <c r="I44" s="65" t="n">
        <v>2</v>
      </c>
      <c r="J44" s="65" t="inlineStr">
        <is>
          <t>Гл.2–3 Ниво 1!ред 11</t>
        </is>
      </c>
      <c r="K44" s="65" t="inlineStr">
        <is>
          <t>29.08.2026</t>
        </is>
      </c>
    </row>
    <row r="45" ht="76" customHeight="1" s="22">
      <c r="A45" s="65" t="n">
        <v>44</v>
      </c>
      <c r="B45" s="65" t="inlineStr">
        <is>
          <t>W. X. Zhao et al., "A survey of large language models," 2023, arXiv:2303.18223.</t>
        </is>
      </c>
      <c r="C45" s="65" t="inlineStr">
        <is>
          <t>Препринт (arXiv)</t>
        </is>
      </c>
      <c r="D45" s="65" t="inlineStr">
        <is>
          <t>PDF в downloaded_pdfs</t>
        </is>
      </c>
      <c r="E45" s="68" t="inlineStr">
        <is>
          <t>Потвърдено</t>
        </is>
      </c>
      <c r="F45" s="66" t="inlineStr">
        <is>
          <t>https://arxiv.org/abs/2303.18223</t>
        </is>
      </c>
      <c r="G45" s="65" t="inlineStr">
        <is>
          <t>„A Survey of Large Language Models“ — Wayne Xin Zhao, Kun Zhou, Junyi Li и др.</t>
        </is>
      </c>
      <c r="H45" s="65" t="inlineStr">
        <is>
          <t>2303.18223v19.pdf — заглавие и водещ автор съвпадат. Цитира се като препринт, без том/страници.</t>
        </is>
      </c>
      <c r="I45" s="65" t="n">
        <v>2</v>
      </c>
      <c r="J45" s="69" t="inlineStr">
        <is>
          <t>НОВ РЕД — липсваше</t>
        </is>
      </c>
      <c r="K45" s="65" t="inlineStr">
        <is>
          <t>31.08.2026</t>
        </is>
      </c>
    </row>
    <row r="46" ht="76" customHeight="1" s="22">
      <c r="A46" s="65" t="n">
        <v>45</v>
      </c>
      <c r="B46" s="65" t="inlineStr">
        <is>
          <t>Y. Gao et al., "Retrieval-augmented generation for large language models: A survey," 2023, arXiv:2312.10997.</t>
        </is>
      </c>
      <c r="C46" s="65" t="inlineStr">
        <is>
          <t>Препринт (arXiv)</t>
        </is>
      </c>
      <c r="D46" s="65" t="inlineStr">
        <is>
          <t>PDF в downloaded_pdfs</t>
        </is>
      </c>
      <c r="E46" s="68" t="inlineStr">
        <is>
          <t>Потвърдено</t>
        </is>
      </c>
      <c r="F46" s="66" t="inlineStr">
        <is>
          <t>https://arxiv.org/abs/2312.10997</t>
        </is>
      </c>
      <c r="G46" s="65" t="inlineStr">
        <is>
          <t>„Retrieval-Augmented Generation for Large Language Models: A Survey“ — Yunfan Gao и др., Tongji/Fudan University</t>
        </is>
      </c>
      <c r="H46" s="65" t="inlineStr">
        <is>
          <t>2312.10997v5.pdf — заглавие и водещ автор съвпадат.</t>
        </is>
      </c>
      <c r="I46" s="65" t="n">
        <v>2</v>
      </c>
      <c r="J46" s="69" t="inlineStr">
        <is>
          <t>НОВ РЕД — липсваше</t>
        </is>
      </c>
      <c r="K46" s="65" t="inlineStr">
        <is>
          <t>31.08.2026</t>
        </is>
      </c>
    </row>
    <row r="47" ht="76" customHeight="1" s="22">
      <c r="A47" s="65" t="n">
        <v>46</v>
      </c>
      <c r="B47" s="65" t="inlineStr">
        <is>
          <t>Z. Bahroun, C. Anane, V. Ahmed, and A. Zacca, "Transforming education: A comprehensive review of generative artificial intelligence in educational settings through bibliometric and content analysis," Sustainability, vol. 15, no. 17, Art. no. 12983, 2023, doi: 10.3390/su151712983.</t>
        </is>
      </c>
      <c r="C47" s="65" t="inlineStr">
        <is>
          <t>Списание (Sustainability, MDPI)</t>
        </is>
      </c>
      <c r="D47" s="65" t="inlineStr">
        <is>
          <t>PDF в downloaded_pdfs + DOI</t>
        </is>
      </c>
      <c r="E47" s="68" t="inlineStr">
        <is>
          <t>Потвърдено</t>
        </is>
      </c>
      <c r="F47" s="66" t="inlineStr">
        <is>
          <t>https://doi.org/10.3390/su151712983</t>
        </is>
      </c>
      <c r="G47" s="65" t="inlineStr">
        <is>
          <t>„Transforming Education: A Comprehensive Review of Generative Artificial Intelligence in Educational Settings through Bibliometric and Content Analysis“ — Zied Bahroun, Chiraz Anane, Vian Ahmed, Andrew Zacca</t>
        </is>
      </c>
      <c r="H47" s="65" t="inlineStr">
        <is>
          <t>sustainability-15-12983.pdf — заглавие и четиримата автори съвпадат; номерът на статията 12983 е в името на файла.</t>
        </is>
      </c>
      <c r="I47" s="65" t="n">
        <v>4</v>
      </c>
      <c r="J47" s="69" t="inlineStr">
        <is>
          <t>НОВ РЕД — липсваше</t>
        </is>
      </c>
      <c r="K47" s="65" t="inlineStr">
        <is>
          <t>31.08.2026</t>
        </is>
      </c>
    </row>
    <row r="48" ht="76" customHeight="1" s="22">
      <c r="A48" s="65" t="n">
        <v>47</v>
      </c>
      <c r="B48" s="65" t="inlineStr">
        <is>
          <t>Z. Liu, S. X. Yin, D. H.-L. Goh, and N. F. Chen, "COGENT: A curriculum-oriented framework for generating grade-appropriate educational content," in Proc. 20th Workshop on Innovative Use of NLP for Building Educational Applications (BEA 2025), 2025, pp. 129–143, doi: 10.18653/v1/2025.bea-1.10.</t>
        </is>
      </c>
      <c r="C48" s="65" t="inlineStr">
        <is>
          <t>Работилница (BEA 2025)</t>
        </is>
      </c>
      <c r="D48" s="65" t="inlineStr">
        <is>
          <t>ACL Anthology</t>
        </is>
      </c>
      <c r="E48" s="68" t="inlineStr">
        <is>
          <t>Потвърдено</t>
        </is>
      </c>
      <c r="F48" s="66" t="inlineStr">
        <is>
          <t>https://aclanthology.org/2025.bea-1.10/</t>
        </is>
      </c>
      <c r="G48" s="65" t="inlineStr">
        <is>
          <t>aclanthology.org/2025.bea-1.10, с. 129–143</t>
        </is>
      </c>
      <c r="H48" s="65" t="inlineStr">
        <is>
          <t>Z. Liu, S. X. Yin, D. H.-L. Goh, N. F. Chen. DOI: 10.18653/v1/2025.bea-1.10. ДЕЙСТВИЕ: добави страници и DOI. || НАНЕСЕНО В НИП 28.08: добави pp. 129–143 и doi: 10.18653/v1/2025.bea-1.10.</t>
        </is>
      </c>
      <c r="I48" s="65" t="n">
        <v>5</v>
      </c>
      <c r="J48" s="65" t="inlineStr">
        <is>
          <t>Ниво 1 Източници!ред 37</t>
        </is>
      </c>
      <c r="K48" s="65" t="inlineStr">
        <is>
          <t>28.08.2026</t>
        </is>
      </c>
    </row>
    <row r="49" ht="76" customHeight="1" s="22">
      <c r="A49" s="65" t="n">
        <v>48</v>
      </c>
      <c r="B49" s="65" t="inlineStr">
        <is>
          <t>Z. Wang, S.-Y. Gong, S. Xu, and X.-E. Hu, "Elaborated feedback and learning: Examining cognitive and motivational influences," Computers &amp; Education, vol. 136, pp. 130–140, 2019, doi: 10.1016/j.compedu.2019.04.003.</t>
        </is>
      </c>
      <c r="C49" s="65" t="inlineStr">
        <is>
          <t>Списание (Computers &amp; Education)</t>
        </is>
      </c>
      <c r="D49" s="65" t="inlineStr">
        <is>
          <t>PDF в downloaded_pdfs + DOI</t>
        </is>
      </c>
      <c r="E49" s="68" t="inlineStr">
        <is>
          <t>Потвърдено</t>
        </is>
      </c>
      <c r="F49" s="66" t="inlineStr">
        <is>
          <t>https://doi.org/10.1016/j.compedu.2019.04.003</t>
        </is>
      </c>
      <c r="G49" s="65" t="inlineStr">
        <is>
          <t>„Computers &amp; Education 136 (2019) 130–140 … Elaborated feedback and learning: Examining cognitive and motivational influences“ — Zhen Wang, Shao-Ying Gong, Sheng Xu, Xiang-En Hu</t>
        </is>
      </c>
      <c r="H49" s="65" t="inlineStr">
        <is>
          <t>1-s2.0-S036013151930082X-main.pdf — том 136, година 2019 и страници 130–140 съвпадат точно.</t>
        </is>
      </c>
      <c r="I49" s="65" t="n">
        <v>2</v>
      </c>
      <c r="J49" s="69" t="inlineStr">
        <is>
          <t>НОВ РЕД — липсваше</t>
        </is>
      </c>
      <c r="K49" s="65" t="inlineStr">
        <is>
          <t>31.08.2026</t>
        </is>
      </c>
    </row>
    <row r="50" ht="76" customHeight="1" s="22">
      <c r="A50" s="65" t="n">
        <v>49</v>
      </c>
      <c r="B50" s="65" t="inlineStr">
        <is>
          <t>AI-Generated Content Best Practices, v1.0, 1EdTech Consortium, Lake Mary, FL, USA, 2025. [Online]. Available: https://www.imsglobal.org/resource/AI-Generated_Content_Best_Practices/v1p0</t>
        </is>
      </c>
      <c r="C50" s="65" t="inlineStr">
        <is>
          <t>Отраслов документ (1EdTech)</t>
        </is>
      </c>
      <c r="D50" s="65" t="inlineStr">
        <is>
          <t>Официална страница на консорциума</t>
        </is>
      </c>
      <c r="E50" s="68" t="inlineStr">
        <is>
          <t>Потвърдено</t>
        </is>
      </c>
      <c r="F50" s="66" t="inlineStr">
        <is>
          <t>https://www.imsglobal.org/resource/AI-Generated_Content_Best_Practices/v1p0</t>
        </is>
      </c>
      <c r="G50" s="65" t="inlineStr">
        <is>
          <t>„AI-generated content requires human validation to ensure accuracy, rigor, and alignment with standards.“; скала от пет равнища, равнище 5 — „GenAI autonomously generates and publishes content with minimal or no human oversight.“</t>
        </is>
      </c>
      <c r="H50" s="65" t="inlineStr">
        <is>
          <t>Проверено на 31.08.2026. Заглавие, версия v1.0 и издател съвпадат.</t>
        </is>
      </c>
      <c r="I50" s="65" t="n">
        <v>3</v>
      </c>
      <c r="J50" s="69" t="inlineStr">
        <is>
          <t>НОВ РЕД — липсваше</t>
        </is>
      </c>
      <c r="K50" s="65" t="inlineStr">
        <is>
          <t>31.08.2026</t>
        </is>
      </c>
    </row>
    <row r="51" ht="76" customHeight="1" s="22">
      <c r="A51" s="65" t="n">
        <v>50</v>
      </c>
      <c r="B51" s="65" t="inlineStr">
        <is>
          <t>Angular Team, "Angular versioning and releases," Angular Documentation, 2026. [Online]. Available: https://angular.dev/reference/releases</t>
        </is>
      </c>
      <c r="C51" s="65" t="inlineStr">
        <is>
          <t>Вендорска документация</t>
        </is>
      </c>
      <c r="D51" s="65" t="inlineStr">
        <is>
          <t>angular.dev — отваряне на раздела</t>
        </is>
      </c>
      <c r="E51" s="68" t="inlineStr">
        <is>
          <t>Потвърдено</t>
        </is>
      </c>
      <c r="F51" s="66" t="inlineStr">
        <is>
          <t>https://angular.dev/reference/releases</t>
        </is>
      </c>
      <c r="G51" s="65" t="inlineStr">
        <is>
          <t>„Until Angular v22, Angular had a 6-month major release cycle, with 1-3 minor releases for each major release“; „A major release every 12 months“ с „4-6 minor releases“; поддръжка 24 месеца (12 активна + 12 LTS); „Deprecated API remain available through their deprecated phase, which lasts a minimum one major version (approximately one year).“</t>
        </is>
      </c>
      <c r="H51" s="65" t="inlineStr">
        <is>
          <t>Тук употребата е коректна: твърдението е ЗА Angular, а не обобщение за софтуерните рамки изобщо. Вендорската документация е първоизточник за собствената си политика. ЕДНА КОРЕКЦИЯ: текстът казва „четири до шест междинни“ за новия цикъл — вярно; но за стария казва шестмесечен цикъл, а източникът уточнява „with 1-3 minor releases“ за него.</t>
        </is>
      </c>
      <c r="I51" s="65" t="n">
        <v>2</v>
      </c>
      <c r="J51" s="65" t="inlineStr">
        <is>
          <t>Гл.2–3 Ниво 1!ред 2</t>
        </is>
      </c>
      <c r="K51" s="65" t="inlineStr">
        <is>
          <t>29.08.2026</t>
        </is>
      </c>
    </row>
    <row r="52" ht="76" customHeight="1" s="22">
      <c r="A52" s="65" t="n">
        <v>51</v>
      </c>
      <c r="B52" s="65" t="inlineStr">
        <is>
          <t>CAST, Universal Design for Learning Guidelines, version 3.0. Lynnfield, MA, USA: CAST, 2024. [Online]. Available: https://udlguidelines.cast.org</t>
        </is>
      </c>
      <c r="C52" s="65" t="inlineStr">
        <is>
          <t>Рамка/насоки</t>
        </is>
      </c>
      <c r="D52" s="65" t="inlineStr">
        <is>
          <t>cast.org — UDL Guidelines 3.0</t>
        </is>
      </c>
      <c r="E52" s="68" t="inlineStr">
        <is>
          <t>Потвърдено</t>
        </is>
      </c>
      <c r="F52" s="66" t="inlineStr">
        <is>
          <t>https://udlguidelines.cast.org/</t>
        </is>
      </c>
      <c r="G52" s="65" t="inlineStr">
        <is>
          <t>Трите принципа на UDL 3.0: „Design Multiple Means of Engagement“, „Design Multiple Means of Representation“, „Design Multiple Means of Action &amp; Expression“. Издание 3.0 на CAST, 30 юли 2024 г.</t>
        </is>
      </c>
      <c r="H52" s="65" t="inlineStr">
        <is>
          <t>Потвърдено точно, включително годината и издателя.</t>
        </is>
      </c>
      <c r="I52" s="65" t="n">
        <v>1</v>
      </c>
      <c r="J52" s="65" t="inlineStr">
        <is>
          <t>Гл.2–3 Ниво 1!ред 3</t>
        </is>
      </c>
      <c r="K52" s="65" t="inlineStr">
        <is>
          <t>29.08.2026</t>
        </is>
      </c>
    </row>
    <row r="53" ht="76" customHeight="1" s="22">
      <c r="A53" s="65" t="n">
        <v>52</v>
      </c>
      <c r="B53" s="65" t="inlineStr">
        <is>
          <t>IMS Meta-Data Best Practice Guide for IEEE 1484.12.1-2002 Standard for Learning Object Metadata, v1.3, IMS Global Learning Consortium, 2006. [Online]. Available: https://www.imsglobal.org/metadata/mdv1p3/imsmd_bestv1p3.html</t>
        </is>
      </c>
      <c r="C53" s="65" t="inlineStr">
        <is>
          <t>Стандарт</t>
        </is>
      </c>
      <c r="D53" s="65" t="inlineStr">
        <is>
          <t>IEEE SA; проверка на броя категории в ревизията от 2020 г.</t>
        </is>
      </c>
      <c r="E53" s="68" t="inlineStr">
        <is>
          <t>Потвърдено</t>
        </is>
      </c>
      <c r="F53" s="66" t="inlineStr">
        <is>
          <t>https://ieeexplore.ieee.org/document/9262118/</t>
        </is>
      </c>
      <c r="G53" s="65" t="inlineStr">
        <is>
          <t>IEEE Std 1484.12.1-2020 || НЯМА ДОСТЪП. ПРЕПОРЪКА: твърдението за деветте категории и четирите признака на Educational категорията не бива да стои без прочетен стандарт. Или се търси свободен източник, който описва схемата, или изречението се свежда до съществуването на международен стандарт за метаданни без изброяване на съдържанието му. || РЕШЕНО: съдържанието е потвърдено през свободното ръководство на 1EdTech/IMS за LOM v1.3. Записът трябва да сочи версията, която наистина е проверена.</t>
        </is>
      </c>
      <c r="H53" s="65" t="inlineStr">
        <is>
          <t>ОТМЕНЯМ по-ранното предупреждение: деветте категории от първо ниво важат и за ревизията от 2020 г. Остава да се провери съдържанието на Educational категорията (Ниво 2, ред 6).</t>
        </is>
      </c>
      <c r="I53" s="65" t="n">
        <v>2</v>
      </c>
      <c r="J53" s="65" t="inlineStr">
        <is>
          <t>Ниво 1 Източници!ред 23</t>
        </is>
      </c>
      <c r="K53" s="65" t="inlineStr">
        <is>
          <t>28.08.2026</t>
        </is>
      </c>
    </row>
    <row r="54" ht="76" customHeight="1" s="22">
      <c r="A54" s="65" t="n">
        <v>53</v>
      </c>
      <c r="B54" s="65" t="inlineStr">
        <is>
          <t>Quality Matters, QM Higher Education Rubric, 7th ed. Annapolis, MD, USA: Quality Matters, 2023. [Online]. Available: https://www.qualitymatters.org/qa-resources/rubric-standards/higher-ed-rubric</t>
        </is>
      </c>
      <c r="C54" s="65" t="inlineStr">
        <is>
          <t>Рубрика/стандарт</t>
        </is>
      </c>
      <c r="D54" s="65" t="inlineStr">
        <is>
          <t>Сайт на QM; официално описание на 7-о издание</t>
        </is>
      </c>
      <c r="E54" s="68" t="inlineStr">
        <is>
          <t>Потвърдено</t>
        </is>
      </c>
      <c r="F54" s="66" t="inlineStr">
        <is>
          <t>https://educationaldevelopment.uams.edu/qualitymatters/qm-rubric</t>
        </is>
      </c>
      <c r="G54" s="65" t="inlineStr">
        <is>
          <t>QM HE Rubric, 7-о изд.</t>
        </is>
      </c>
      <c r="H54" s="65" t="inlineStr">
        <is>
          <t>Потвърдено: 8 общи и 44 конкретни ревизионни стандарта. Виж ред 55.</t>
        </is>
      </c>
      <c r="I54" s="65" t="n">
        <v>5</v>
      </c>
      <c r="J54" s="65" t="inlineStr">
        <is>
          <t>Ниво 1 Източници!ред 30</t>
        </is>
      </c>
      <c r="K54" s="65" t="inlineStr">
        <is>
          <t>28.08.2026</t>
        </is>
      </c>
    </row>
  </sheetData>
  <autoFilter ref="A1:K5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outlineLevelCol="0"/>
  <cols>
    <col width="8" customWidth="1" style="22" min="1" max="1"/>
    <col width="110" customWidth="1" style="22" min="2" max="2"/>
    <col width="8" customWidth="1" style="22" min="3" max="3"/>
    <col width="16" customWidth="1" style="22" min="4" max="4"/>
  </cols>
  <sheetData>
    <row r="1">
      <c r="A1" s="47" t="inlineStr">
        <is>
          <t>Нов №</t>
        </is>
      </c>
      <c r="B1" s="47" t="inlineStr">
        <is>
          <t>Библиографски запис</t>
        </is>
      </c>
      <c r="C1" s="47" t="inlineStr">
        <is>
          <t>Стар №</t>
        </is>
      </c>
      <c r="D1" s="47" t="inlineStr">
        <is>
          <t>Бележка</t>
        </is>
      </c>
    </row>
    <row r="2" ht="32" customHeight="1" s="22">
      <c r="A2" s="49" t="n">
        <v>1</v>
      </c>
      <c r="B2" s="49" t="inlineStr">
        <is>
          <t>А. Захариев, „Изкуственият интелект в образователната и научна степен „доктор“: дигитализация, регулация и кредитна акселерация“,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15–23.</t>
        </is>
      </c>
      <c r="C2" s="49" t="n">
        <v>1</v>
      </c>
      <c r="D2" s="49" t="inlineStr"/>
    </row>
    <row r="3" ht="32" customHeight="1" s="22">
      <c r="A3" s="49" t="n">
        <v>2</v>
      </c>
      <c r="B3" s="49" t="inlineStr">
        <is>
          <t>Д. Димитранов и Г. Димитров, „Изкуственият интелект като инструмент за автоматизирано създаване на бази данни от тестови въпроси“,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576–580.</t>
        </is>
      </c>
      <c r="C3" s="49" t="n">
        <v>2</v>
      </c>
      <c r="D3" s="49" t="inlineStr"/>
    </row>
    <row r="4" ht="32" customHeight="1" s="22">
      <c r="A4" s="49" t="n">
        <v>3</v>
      </c>
      <c r="B4" s="49" t="inlineStr">
        <is>
          <t>Е. Даскалова, О. Попова, С. Стефанов, М. Пенчева и В. Стефанова, „Концептуален дизайн за базирана на изкуствен интелект платформа за обучение на студенти по дентална анатомия“,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554–558.</t>
        </is>
      </c>
      <c r="C4" s="49" t="n">
        <v>3</v>
      </c>
      <c r="D4" s="49" t="inlineStr"/>
    </row>
    <row r="5" ht="32" customHeight="1" s="22">
      <c r="A5" s="49" t="n">
        <v>4</v>
      </c>
      <c r="B5" s="49" t="inlineStr">
        <is>
          <t>М. Дамесова, „Овладяване на сложни концепции чрез генеративен изкуствен интелект и дигитален storytelling“,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717–721.</t>
        </is>
      </c>
      <c r="C5" s="49" t="n">
        <v>4</v>
      </c>
      <c r="D5" s="49" t="inlineStr"/>
    </row>
    <row r="6" ht="32" customHeight="1" s="22">
      <c r="A6" s="49" t="n">
        <v>5</v>
      </c>
      <c r="B6" s="49" t="inlineStr">
        <is>
          <t>М. Левунлиева, „ИИ в образованието – перспективата на педагога“,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605–610.</t>
        </is>
      </c>
      <c r="C6" s="49" t="n">
        <v>5</v>
      </c>
      <c r="D6" s="49" t="inlineStr"/>
    </row>
    <row r="7" ht="32" customHeight="1" s="22">
      <c r="A7" s="49" t="n">
        <v>6</v>
      </c>
      <c r="B7" s="49" t="inlineStr">
        <is>
          <t>М. Маркова, „Изкуственият интелект в помощ на ускореното учене: практически инструменти за преподаватели“,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541–546.</t>
        </is>
      </c>
      <c r="C7" s="49" t="n">
        <v>6</v>
      </c>
      <c r="D7" s="49" t="inlineStr"/>
    </row>
    <row r="8" ht="32" customHeight="1" s="22">
      <c r="A8" s="49" t="n">
        <v>7</v>
      </c>
      <c r="B8" s="49" t="inlineStr">
        <is>
          <t>С. Гафтанджиева и Р. Донева, „Генеративен изкуствен интелект в образованието: проблеми и решения“, Педагогика, т. 97, кн. 9, с. 1284–1297, 2025, doi: 10.53656/ped2025-9.04.</t>
        </is>
      </c>
      <c r="C8" s="49" t="n">
        <v>7</v>
      </c>
      <c r="D8" s="49" t="inlineStr"/>
    </row>
    <row r="9" ht="32" customHeight="1" s="22">
      <c r="A9" s="49" t="n">
        <v>8</v>
      </c>
      <c r="B9" s="49" t="inlineStr">
        <is>
          <t>Ц. Василев, „Използване на изкуствен интелект в обучението – гледна точка на студент и преподавател“,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24–32.</t>
        </is>
      </c>
      <c r="C9" s="49" t="n">
        <v>8</v>
      </c>
      <c r="D9" s="49" t="inlineStr"/>
    </row>
    <row r="10" ht="32" customHeight="1" s="22">
      <c r="A10" s="49" t="n">
        <v>9</v>
      </c>
      <c r="B10" s="49" t="inlineStr">
        <is>
          <t>Ц. Дуцова, „Някои аспекти на приложение на изкуствения интелект в образованието“, в Сб. докл. Трета национална научно-практическа конференция „Дигитална трансформация на образованието – проблеми и решения“, Русе, България, 2025, с. 472–478.</t>
        </is>
      </c>
      <c r="C10" s="49" t="n">
        <v>9</v>
      </c>
      <c r="D10" s="49" t="inlineStr"/>
    </row>
    <row r="11" ht="32" customHeight="1" s="22">
      <c r="A11" s="49" t="n">
        <v>10</v>
      </c>
      <c r="B11" s="49" t="inlineStr">
        <is>
          <t>A. S. Doğruöz et al., "Challenges and recommendations for LLMs-as-a-judge in multilingual settings and low-resource languages," 2026, arXiv:2607.02235.</t>
        </is>
      </c>
      <c r="C11" s="49" t="n">
        <v>10</v>
      </c>
      <c r="D11" s="49" t="inlineStr"/>
    </row>
    <row r="12" ht="32" customHeight="1" s="22">
      <c r="A12" s="49" t="n">
        <v>11</v>
      </c>
      <c r="B12" s="49" t="inlineStr">
        <is>
          <t>A. Sangrà, D. Vlachopoulos, and N. Cabrera, "Building an inclusive definition of e-learning: An approach to the conceptual framework," The International Review of Research in Open and Distributed Learning, vol. 13, no. 2, pp. 145–159, 2012, doi: 10.19173/irrodl.v13i2.1161.</t>
        </is>
      </c>
      <c r="C12" s="49" t="inlineStr"/>
      <c r="D12" s="49" t="inlineStr">
        <is>
          <t>НОВ ИЗТОЧНИК</t>
        </is>
      </c>
    </row>
    <row r="13" ht="32" customHeight="1" s="22">
      <c r="A13" s="49" t="n">
        <v>12</v>
      </c>
      <c r="B13" s="49" t="inlineStr">
        <is>
          <t>AI-Generated Content Best Practices, v1.0, 1EdTech Consortium, Lake Mary, FL, USA, 2025. [Online]. Available: https://www.imsglobal.org/resource/AI-Generated_Content_Best_Practices/v1p0</t>
        </is>
      </c>
      <c r="C13" s="49" t="inlineStr"/>
      <c r="D13" s="49" t="inlineStr">
        <is>
          <t>НОВ ИЗТОЧНИК</t>
        </is>
      </c>
    </row>
    <row r="14" ht="32" customHeight="1" s="22">
      <c r="A14" s="49" t="n">
        <v>13</v>
      </c>
      <c r="B14" s="49" t="inlineStr">
        <is>
          <t>C. Redecker, European Framework for the Digital Competence of Educators: DigCompEdu, Y. Punie, Ed. Luxembourg: Publications Office of the European Union, 2017, JRC107466.</t>
        </is>
      </c>
      <c r="C14" s="49" t="n">
        <v>12</v>
      </c>
      <c r="D14" s="49" t="inlineStr"/>
    </row>
    <row r="15" ht="32" customHeight="1" s="22">
      <c r="A15" s="49" t="n">
        <v>14</v>
      </c>
      <c r="B15" s="49" t="inlineStr">
        <is>
          <t>D. Li et al., "From generation to judgment: Opportunities and challenges of LLM-as-a-judge," in Proc. 2025 Conference on Empirical Methods in Natural Language Processing (EMNLP), 2025, pp. 2757–2791, doi: 10.18653/v1/2025.emnlp-main.138.</t>
        </is>
      </c>
      <c r="C15" s="49" t="n">
        <v>13</v>
      </c>
      <c r="D15" s="49" t="inlineStr"/>
    </row>
    <row r="16" ht="32" customHeight="1" s="22">
      <c r="A16" s="49" t="n">
        <v>15</v>
      </c>
      <c r="B16" s="49" t="inlineStr">
        <is>
          <t>D. S. Chai, H. S. Kim, K. N. Kim, Y. Ha, S. S. H. Shin, and S. W. Yoon, "Generative artificial intelligence in instructional system design," Human Resource Development Review, vol. 24, no. 4, pp. 388–417, 2025, doi: 10.1177/15344843251320256.</t>
        </is>
      </c>
      <c r="C16" s="49" t="n">
        <v>14</v>
      </c>
      <c r="D16" s="49" t="inlineStr"/>
    </row>
    <row r="17" ht="32" customHeight="1" s="22">
      <c r="A17" s="49" t="n">
        <v>16</v>
      </c>
      <c r="B17" s="49" t="inlineStr">
        <is>
          <t>E. Dickey and A. Bejarano, "GAIDE: A framework for using generative AI to assist in course content development," in Proc. 2024 IEEE Frontiers in Education Conference (FIE), 2024, pp. 1–9, doi: 10.1109/FIE61694.2024.10893132.</t>
        </is>
      </c>
      <c r="C17" s="49" t="n">
        <v>15</v>
      </c>
      <c r="D17" s="49" t="inlineStr"/>
    </row>
    <row r="18" ht="32" customHeight="1" s="22">
      <c r="A18" s="49" t="n">
        <v>17</v>
      </c>
      <c r="B18" s="49" t="inlineStr">
        <is>
          <t>E. Kasneci et al., "ChatGPT for good? On opportunities and challenges of large language models for education," Learning and Individual Differences, vol. 103, Art. no. 102274, 2023, doi: 10.1016/j.lindif.2023.102274.</t>
        </is>
      </c>
      <c r="C18" s="49" t="n">
        <v>16</v>
      </c>
      <c r="D18" s="49" t="inlineStr"/>
    </row>
    <row r="19" ht="32" customHeight="1" s="22">
      <c r="A19" s="49" t="n">
        <v>18</v>
      </c>
      <c r="B19" s="49" t="inlineStr">
        <is>
          <t>E. Staneviciene and G. Žekienė, "The use of multimedia in the teaching and learning process of higher education: A systematic review," Sustainability, vol. 17, no. 19, Art. no. 8859, 2025, doi: 10.3390/su17198859.</t>
        </is>
      </c>
      <c r="C19" s="49" t="n">
        <v>17</v>
      </c>
      <c r="D19" s="49" t="inlineStr"/>
    </row>
    <row r="20" ht="32" customHeight="1" s="22">
      <c r="A20" s="49" t="n">
        <v>19</v>
      </c>
      <c r="B20" s="49" t="inlineStr">
        <is>
          <t>F. Miao and W. Holmes, Guidance for Generative AI in Education and Research. Paris, France: UNESCO, 2023. [Online]. Available: https://www.unesco.org/en/articles/guidance-generative-ai-education-and-research</t>
        </is>
      </c>
      <c r="C20" s="49" t="n">
        <v>18</v>
      </c>
      <c r="D20" s="49" t="inlineStr"/>
    </row>
    <row r="21" ht="32" customHeight="1" s="22">
      <c r="A21" s="49" t="n">
        <v>20</v>
      </c>
      <c r="B21" s="49" t="inlineStr">
        <is>
          <t>G. W. Choi, S. H. Kim, D. Lee, and J. Moon, "Utilizing generative AI for instructional design: Exploring strengths, weaknesses, opportunities, and threats," TechTrends, vol. 68, no. 4, pp. 832–844, 2024, doi: 10.1007/s11528-024-00967-w.</t>
        </is>
      </c>
      <c r="C21" s="49" t="n">
        <v>19</v>
      </c>
      <c r="D21" s="49" t="inlineStr"/>
    </row>
    <row r="22" ht="32" customHeight="1" s="22">
      <c r="A22" s="49" t="n">
        <v>21</v>
      </c>
      <c r="B22" s="49" t="inlineStr">
        <is>
          <t>H. Wu, Z. Wang, and X. Wen, "Examining interactive AI-supported learning environments: The mediating role of AI metacognition and the moderating role of cognitive flexibility," Acta Psychologica, vol. 266, Art. no. 106874, 2026.</t>
        </is>
      </c>
      <c r="C22" s="49" t="inlineStr"/>
      <c r="D22" s="49" t="inlineStr">
        <is>
          <t>НОВ ИЗТОЧНИК</t>
        </is>
      </c>
    </row>
    <row r="23" ht="32" customHeight="1" s="22">
      <c r="A23" s="49" t="n">
        <v>22</v>
      </c>
      <c r="B23" s="49" t="inlineStr">
        <is>
          <t>H. Yao, W. Xu, J. Turnau, N. Kellam, and H. Wei, "Instructional agents: Reducing teaching faculty workload through multi-agent instructional design," in Proc. EACL 2026, vol. 1, 2026, pp. 4087–4109, doi: 10.18653/v1/2026.eacl-long.191.</t>
        </is>
      </c>
      <c r="C23" s="49" t="n">
        <v>20</v>
      </c>
      <c r="D23" s="49" t="inlineStr"/>
    </row>
    <row r="24" ht="32" customHeight="1" s="22">
      <c r="A24" s="49" t="n">
        <v>23</v>
      </c>
      <c r="B24" s="49" t="inlineStr">
        <is>
          <t>H. Zhang, S. Wang, T.-H. Chen, Y. Zou, and A. E. Hassan, "An empirical study of obsolete answers on Stack Overflow," IEEE Transactions on Software Engineering, vol. 47, no. 4, pp. 850–862, 2021, doi: 10.1109/TSE.2019.2906315.</t>
        </is>
      </c>
      <c r="C24" s="49" t="n">
        <v>11</v>
      </c>
      <c r="D24" s="49" t="inlineStr">
        <is>
          <t>НОВ ИЗТОЧНИК</t>
        </is>
      </c>
    </row>
    <row r="25" ht="32" customHeight="1" s="22">
      <c r="A25" s="49" t="n">
        <v>24</v>
      </c>
      <c r="B25" s="49" t="inlineStr">
        <is>
          <t>IEEE Standard for Learning Object Metadata, IEEE Std 1484.12.1-2020, IEEE, New York, NY, USA, 2020.</t>
        </is>
      </c>
      <c r="C25" s="49" t="n">
        <v>22</v>
      </c>
      <c r="D25" s="49" t="inlineStr"/>
    </row>
    <row r="26" ht="32" customHeight="1" s="22">
      <c r="A26" s="49" t="n">
        <v>25</v>
      </c>
      <c r="B26" s="49" t="inlineStr">
        <is>
          <t>J. Biggs, "Enhancing teaching through constructive alignment," Higher Education, vol. 32, no. 3, pp. 347–364, 1996, doi: 10.1007/BF00138871.</t>
        </is>
      </c>
      <c r="C26" s="49" t="n">
        <v>23</v>
      </c>
      <c r="D26" s="49" t="inlineStr">
        <is>
          <t>НОВ ИЗТОЧНИК</t>
        </is>
      </c>
    </row>
    <row r="27" ht="32" customHeight="1" s="22">
      <c r="A27" s="49" t="n">
        <v>26</v>
      </c>
      <c r="B27" s="49" t="inlineStr">
        <is>
          <t>J. Sweller, J. J. G. van Merriënboer, and F. Paas, "Cognitive architecture and instructional design: 20 years later," Educational Psychology Review, vol. 31, no. 2, pp. 261–292, 2019, doi: 10.1007/s10648-019-09465-5.</t>
        </is>
      </c>
      <c r="C27" s="49" t="n">
        <v>24</v>
      </c>
      <c r="D27" s="49" t="inlineStr"/>
    </row>
    <row r="28" ht="32" customHeight="1" s="22">
      <c r="A28" s="49" t="n">
        <v>27</v>
      </c>
      <c r="B28" s="49" t="inlineStr">
        <is>
          <t>L. Huang et al., "A survey on hallucination in large language models: Principles, taxonomy, challenges, and open questions," ACM Transactions on Information Systems, vol. 43, no. 2, pp. 1–55, 2025, doi: 10.1145/3703155.</t>
        </is>
      </c>
      <c r="C28" s="49" t="n">
        <v>25</v>
      </c>
      <c r="D28" s="49" t="inlineStr"/>
    </row>
    <row r="29" ht="32" customHeight="1" s="22">
      <c r="A29" s="49" t="n">
        <v>28</v>
      </c>
      <c r="B29" s="49" t="inlineStr">
        <is>
          <t>L. Zheng et al., "Judging LLM-as-a-judge with MT-Bench and Chatbot Arena," in Advances in Neural Information Processing Systems 36 (NeurIPS 2023), Datasets and Benchmarks Track, 2023. [Online]. Available: https://arxiv.org/abs/2306.05685</t>
        </is>
      </c>
      <c r="C29" s="49" t="n">
        <v>26</v>
      </c>
      <c r="D29" s="49" t="inlineStr"/>
    </row>
    <row r="30" ht="32" customHeight="1" s="22">
      <c r="A30" s="49" t="n">
        <v>29</v>
      </c>
      <c r="B30" s="49" t="inlineStr">
        <is>
          <t>M. D. Merrill, "First principles of instruction," Educational Technology Research and Development, vol. 50, no. 3, pp. 43–59, 2002, doi: 10.1007/BF02505024.</t>
        </is>
      </c>
      <c r="C30" s="49" t="n">
        <v>27</v>
      </c>
      <c r="D30" s="49" t="inlineStr"/>
    </row>
    <row r="31" ht="32" customHeight="1" s="22">
      <c r="A31" s="49" t="n">
        <v>30</v>
      </c>
      <c r="B31" s="49" t="inlineStr">
        <is>
          <t>N. F. Liu et al., "Lost in the middle: How language models use long contexts," Transactions of the Association for Computational Linguistics, vol. 12, pp. 157–173, 2024, doi: 10.1162/tacl_a_00638.</t>
        </is>
      </c>
      <c r="C31" s="49" t="inlineStr"/>
      <c r="D31" s="49" t="inlineStr">
        <is>
          <t>НОВ ИЗТОЧНИК</t>
        </is>
      </c>
    </row>
    <row r="32" ht="32" customHeight="1" s="22">
      <c r="A32" s="49" t="n">
        <v>31</v>
      </c>
      <c r="B32" s="49" t="inlineStr">
        <is>
          <t>O. Zawacki-Richter, V. I. Marín, M. Bond, and F. Gouverneur, "Systematic review of research on artificial intelligence applications in higher education — where are the educators?," International Journal of Educational Technology in Higher Education, vol. 16, Art. no. 39, 2019, doi: 10.1186/s41239-019-0171-0.</t>
        </is>
      </c>
      <c r="C32" s="49" t="n">
        <v>28</v>
      </c>
      <c r="D32" s="49" t="inlineStr"/>
    </row>
    <row r="33" ht="32" customHeight="1" s="22">
      <c r="A33" s="49" t="n">
        <v>32</v>
      </c>
      <c r="B33" s="49" t="inlineStr">
        <is>
          <t>Quality Matters, QM Higher Education Rubric, 7th ed. Annapolis, MD, USA: Quality Matters, 2023. [Online]. Available: https://www.qualitymatters.org/qa-resources/rubric-standards/higher-ed-rubric</t>
        </is>
      </c>
      <c r="C33" s="49" t="n">
        <v>29</v>
      </c>
      <c r="D33" s="49" t="inlineStr"/>
    </row>
    <row r="34" ht="32" customHeight="1" s="22">
      <c r="A34" s="49" t="n">
        <v>33</v>
      </c>
      <c r="B34" s="49" t="inlineStr">
        <is>
          <t>R. E. Mayer, "Evidence-based principles for how to design effective instructional videos," Journal of Applied Research in Memory and Cognition, vol. 10, no. 2, pp. 229–240, 2021, doi: 10.1016/j.jarmac.2021.03.007.</t>
        </is>
      </c>
      <c r="C34" s="49" t="inlineStr"/>
      <c r="D34" s="49" t="inlineStr">
        <is>
          <t>НОВ ИЗТОЧНИК</t>
        </is>
      </c>
    </row>
    <row r="35" ht="32" customHeight="1" s="22">
      <c r="A35" s="49" t="n">
        <v>34</v>
      </c>
      <c r="B35" s="49" t="inlineStr">
        <is>
          <t>Regulation (EU) 2024/1689 of the European Parliament and of the Council of 13 June 2024 laying down harmonised rules on artificial intelligence (Artificial Intelligence Act), OJ L, 2024/1689, 12.7.2024. [Online]. Available: https://eur-lex.europa.eu/eli/reg/2024/1689/oj</t>
        </is>
      </c>
      <c r="C35" s="49" t="n">
        <v>31</v>
      </c>
      <c r="D35" s="49" t="inlineStr"/>
    </row>
    <row r="36" ht="32" customHeight="1" s="22">
      <c r="A36" s="49" t="n">
        <v>35</v>
      </c>
      <c r="B36" s="49" t="inlineStr">
        <is>
          <t>S. G. Ramezani and Z. S. Mostafavi, "Developing and validating a comprehensive scale for accreditation standards and quality assurance in e-learning institutions," Education and Information Technologies, vol. 30, no. 15, pp. 21139–21187, 2025, doi: 10.1007/s10639-025-13587-5.</t>
        </is>
      </c>
      <c r="C36" s="49" t="n">
        <v>32</v>
      </c>
      <c r="D36" s="49" t="inlineStr"/>
    </row>
    <row r="37" ht="32" customHeight="1" s="22">
      <c r="A37" s="49" t="n">
        <v>36</v>
      </c>
      <c r="B37" s="49" t="inlineStr">
        <is>
          <t>S. J. Warren, E. Boston Vogt, B. Tincher, and J. Yang, "Enhancing quality assurance through strategic artificial intelligence integration: A framework for higher education digital transformation," Quality Assurance in Education, vol. 34, no. 2, pp. 205–222, 2026, doi: 10.1108/QAE-09-2024-0183.</t>
        </is>
      </c>
      <c r="C37" s="49" t="n">
        <v>33</v>
      </c>
      <c r="D37" s="49" t="inlineStr"/>
    </row>
    <row r="38" ht="32" customHeight="1" s="22">
      <c r="A38" s="49" t="n">
        <v>37</v>
      </c>
      <c r="B38" s="49" t="inlineStr">
        <is>
          <t>UNESCO, Recommendation on Open Educational Resources (OER). Paris, France: UNESCO, 2019. [Online]. Available: https://unesdoc.unesco.org/ark:/48223/pf0000383205</t>
        </is>
      </c>
      <c r="C38" s="49" t="n">
        <v>34</v>
      </c>
      <c r="D38" s="49" t="inlineStr"/>
    </row>
    <row r="39" ht="32" customHeight="1" s="22">
      <c r="A39" s="49" t="n">
        <v>38</v>
      </c>
      <c r="B39" s="49" t="inlineStr">
        <is>
          <t>W. X. Zhao et al., "A survey of large language models," 2023, arXiv:2303.18223.</t>
        </is>
      </c>
      <c r="C39" s="49" t="inlineStr"/>
      <c r="D39" s="49" t="inlineStr">
        <is>
          <t>НОВ ИЗТОЧНИК</t>
        </is>
      </c>
    </row>
    <row r="40" ht="32" customHeight="1" s="22">
      <c r="A40" s="49" t="n">
        <v>39</v>
      </c>
      <c r="B40" s="49" t="inlineStr">
        <is>
          <t>Y. Gao et al., "Retrieval-augmented generation for large language models: A survey," 2023, arXiv:2312.10997.</t>
        </is>
      </c>
      <c r="C40" s="49" t="inlineStr"/>
      <c r="D40" s="49" t="inlineStr">
        <is>
          <t>НОВ ИЗТОЧНИК</t>
        </is>
      </c>
    </row>
    <row r="41" ht="32" customHeight="1" s="22">
      <c r="A41" s="49" t="n">
        <v>40</v>
      </c>
      <c r="B41" s="49" t="inlineStr">
        <is>
          <t>Z. Bahroun, C. Anane, V. Ahmed, and A. Zacca, "Transforming education: A comprehensive review of generative artificial intelligence in educational settings through bibliometric and content analysis," Sustainability, vol. 15, no. 17, Art. no. 12983, 2023, doi: 10.3390/su151712983.</t>
        </is>
      </c>
      <c r="C41" s="49" t="inlineStr"/>
      <c r="D41" s="49" t="inlineStr">
        <is>
          <t>НОВ ИЗТОЧНИК</t>
        </is>
      </c>
    </row>
    <row r="42" ht="32" customHeight="1" s="22">
      <c r="A42" s="49" t="n">
        <v>41</v>
      </c>
      <c r="B42" s="49" t="inlineStr">
        <is>
          <t>Z. Liu, S. X. Yin, D. H.-L. Goh, and N. F. Chen, "COGENT: A curriculum-oriented framework for generating grade-appropriate educational content," in Proc. 20th Workshop on Innovative Use of NLP for Building Educational Applications (BEA 2025), 2025, pp. 129–143, doi: 10.18653/v1/2025.bea-1.10.</t>
        </is>
      </c>
      <c r="C42" s="49" t="n">
        <v>36</v>
      </c>
      <c r="D42" s="49" t="inlineStr"/>
    </row>
    <row r="43" ht="32" customHeight="1" s="22">
      <c r="A43" s="49" t="n">
        <v>42</v>
      </c>
      <c r="B43" s="49" t="inlineStr">
        <is>
          <t>Z. Wang, S.-Y. Gong, S. Xu, and X.-E. Hu, "Elaborated feedback and learning: Examining cognitive and motivational influences," Computers &amp; Education, vol. 136, pp. 130–140, 2019, doi: 10.1016/j.compedu.2019.04.003.</t>
        </is>
      </c>
      <c r="C43" s="49" t="inlineStr"/>
      <c r="D43" s="49" t="inlineStr">
        <is>
          <t>НОВ ИЗТОЧНИК</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P6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outlineLevelCol="0"/>
  <cols>
    <col width="5" customWidth="1" style="21" min="1" max="1"/>
    <col width="9" customWidth="1" style="21" min="2" max="2"/>
    <col width="13" customWidth="1" style="21" min="3" max="3"/>
    <col width="16" customWidth="1" style="21" min="4" max="4"/>
    <col width="80" customWidth="1" style="21" min="5" max="5"/>
    <col width="22" customWidth="1" style="21" min="6" max="6"/>
    <col width="60" customWidth="1" style="21" min="7" max="7"/>
    <col width="11" customWidth="1" style="21" min="8" max="8"/>
    <col width="22" customWidth="1" style="21" min="9" max="10"/>
    <col width="40" customWidth="1" style="21" min="11" max="11"/>
    <col width="80" customWidth="1" style="21" min="12" max="12"/>
    <col width="11" customWidth="1" style="21" min="13" max="13"/>
  </cols>
  <sheetData>
    <row r="1" ht="31.5" customHeight="1" s="22">
      <c r="A1" s="27" t="inlineStr">
        <is>
          <t>№</t>
        </is>
      </c>
      <c r="B1" s="27" t="inlineStr">
        <is>
          <t>Раздел</t>
        </is>
      </c>
      <c r="C1" s="27" t="inlineStr">
        <is>
          <t>Източник(ци)</t>
        </is>
      </c>
      <c r="D1" s="47" t="inlineStr">
        <is>
          <t>Източник(ци) — нови №</t>
        </is>
      </c>
      <c r="E1" s="27" t="inlineStr">
        <is>
          <t>Локатор в текста</t>
        </is>
      </c>
      <c r="F1" s="27" t="inlineStr">
        <is>
          <t>Твърдение (както е в документа)</t>
        </is>
      </c>
      <c r="G1" s="27" t="inlineStr">
        <is>
          <t>Тип на проверката</t>
        </is>
      </c>
      <c r="H1" s="27" t="inlineStr">
        <is>
          <t>Какво точно се потвърждава</t>
        </is>
      </c>
      <c r="I1" s="27" t="inlineStr">
        <is>
          <t>Приоритет</t>
        </is>
      </c>
      <c r="J1" s="27" t="inlineStr">
        <is>
          <t>Статус</t>
        </is>
      </c>
      <c r="K1" s="27" t="inlineStr">
        <is>
          <t>Намерено на (стр./раздел)</t>
        </is>
      </c>
      <c r="L1" s="47" t="inlineStr">
        <is>
          <t>Линк към проверения текст</t>
        </is>
      </c>
      <c r="M1" s="47" t="inlineStr">
        <is>
          <t>Извадка от източника (дословно)</t>
        </is>
      </c>
      <c r="N1" s="27" t="inlineStr">
        <is>
          <t>Бележка / действие</t>
        </is>
      </c>
      <c r="O1" s="27" t="inlineStr">
        <is>
          <t>Проверил</t>
        </is>
      </c>
      <c r="P1" s="27" t="inlineStr">
        <is>
          <t>Дата</t>
        </is>
      </c>
    </row>
    <row r="2" ht="78" customHeight="1" s="22">
      <c r="A2" s="28" t="n">
        <v>1</v>
      </c>
      <c r="B2" s="28" t="inlineStr">
        <is>
          <t>1.1</t>
        </is>
      </c>
      <c r="C2" s="28" t="inlineStr">
        <is>
          <t>[30]</t>
        </is>
      </c>
      <c r="D2" s="49" t="inlineStr">
        <is>
          <t>заменен</t>
        </is>
      </c>
      <c r="E2" s="29" t="inlineStr">
        <is>
          <t>гл. 1</t>
        </is>
      </c>
      <c r="F2" s="29" t="inlineStr">
        <is>
          <t>Clark и Mayer дефинират електронното обучение като обучение, доставяно чрез цифрово устройство, чието предназначение е да подпомага ученето, като изрично подчертават, че определящият признак не е технологията носител, а съчетанието от учебно съдържание и педагогически методи за неговото представяне [30, гл. 1].</t>
        </is>
      </c>
      <c r="G2" s="29" t="inlineStr">
        <is>
          <t>Дефиниция</t>
        </is>
      </c>
      <c r="H2" s="29" t="inlineStr">
        <is>
          <t>Clark &amp; Mayer, 5-о изд., гл. 1: дали дефиницията е такава и дали изрично се подчертава, че носителят не е определящият признак.</t>
        </is>
      </c>
      <c r="I2" s="28" t="inlineStr">
        <is>
          <t>Среден</t>
        </is>
      </c>
      <c r="J2" s="30" t="inlineStr">
        <is>
          <t>Потвърдено</t>
        </is>
      </c>
      <c r="K2" s="30" t="inlineStr">
        <is>
          <t>Sangrà, Vlachopoulos и Cabrera 2012, IRRODL 13(2), 145–159 — ЗАМЕСТИТЕЛ на [30, гл. 1]</t>
        </is>
      </c>
      <c r="L2" s="48" t="inlineStr">
        <is>
          <t>https://www.irrodl.org/index.php/irrodl/article/view/1161</t>
        </is>
      </c>
      <c r="M2" s="49" t="inlineStr">
        <is>
          <t>Консенсусната дефиниция от Delphi проучването: „E-learning is an approach to teaching and learning, representing all or part of the educational model applied, that is based on the use of electronic media and devices as tools for improving access to training, communication and interaction and that facilitates the adoption of new ways of understanding and developing learning.“ Статията разграничава четири категории дефиниции: technology-driven, delivery-system-oriented, communication-oriented и educational-paradigm-oriented.</t>
        </is>
      </c>
      <c r="N2" s="30" t="inlineStr">
        <is>
          <t>ПОКРИВА СЕ ИЗЦЯЛО и по-добре от очакваното. Дефиницията определя е-обучението като ПОДХОД към преподаването и ученето, представящ приложения образователен модел, а електронните средства са „tools“. Това е точно тезата, че определящият признак е моделът, а не технологията — при това по консенсус на международен експертен панел, а не като едната страна на спора Кларк–Козма. Clark 1994 СТАВА ИЗЛИШЕН.</t>
        </is>
      </c>
      <c r="O2" s="30" t="inlineStr">
        <is>
          <t>Claude (авт.)</t>
        </is>
      </c>
      <c r="P2" s="30" t="inlineStr">
        <is>
          <t>29.08.2026</t>
        </is>
      </c>
    </row>
    <row r="3" ht="78" customHeight="1" s="22">
      <c r="A3" s="28" t="n">
        <v>2</v>
      </c>
      <c r="B3" s="28" t="inlineStr">
        <is>
          <t>1.1</t>
        </is>
      </c>
      <c r="C3" s="28" t="inlineStr">
        <is>
          <t>[12]</t>
        </is>
      </c>
      <c r="D3" s="49" t="inlineStr">
        <is>
          <t>[13]</t>
        </is>
      </c>
      <c r="E3" s="29" t="inlineStr">
        <is>
          <t>обл. 2</t>
        </is>
      </c>
      <c r="F3" s="29" t="inlineStr">
        <is>
          <t>Значимостта на работата с дигитални ресурси за съвременния преподавател е призната и на рамково равнище: в европейската рамка за дигитална компетентност на преподавателите DigCompEdu подборът, създаването, модифицирането и управлението на дигитални ресурси са обособени като самостоятелна компетентностна област [12, обл. 2].</t>
        </is>
      </c>
      <c r="G3" s="29" t="inlineStr">
        <is>
          <t>Рамков документ</t>
        </is>
      </c>
      <c r="H3" s="29" t="inlineStr">
        <is>
          <t>DigCompEdu: дали област 2 се нарича „Дигитални ресурси“ и обхваща подбор, създаване/модифициране и управление.</t>
        </is>
      </c>
      <c r="I3" s="32" t="inlineStr">
        <is>
          <t>Висок</t>
        </is>
      </c>
      <c r="J3" s="30" t="inlineStr">
        <is>
          <t>Потвърдено</t>
        </is>
      </c>
      <c r="K3" s="30" t="inlineStr">
        <is>
          <t>DigCompEdu, област 2</t>
        </is>
      </c>
      <c r="L3" s="48" t="inlineStr">
        <is>
          <t>https://publications.jrc.ec.europa.eu/repository/bitstream/JRC107466/pdf_digcomedu_a4_final.pdf</t>
        </is>
      </c>
      <c r="M3" s="49" t="inlineStr">
        <is>
          <t>Област 2 „Digital Resources“ с подкомпетентности 2.1 Selecting digital resources, 2.2 Creating and modifying digital resources, 2.3 Managing, protecting and sharing digital resources.</t>
        </is>
      </c>
      <c r="N3" s="30" t="inlineStr">
        <is>
          <t>Потвърдено точно: подборът, създаването/модифицирането и управлението са обособени в самостоятелна област.</t>
        </is>
      </c>
      <c r="O3" s="30" t="inlineStr">
        <is>
          <t>Claude (авт.)</t>
        </is>
      </c>
      <c r="P3" s="30" t="inlineStr">
        <is>
          <t>28.08.2026</t>
        </is>
      </c>
    </row>
    <row r="4" ht="78" customHeight="1" s="22">
      <c r="A4" s="28" t="n">
        <v>3</v>
      </c>
      <c r="B4" s="28" t="inlineStr">
        <is>
          <t>1.1</t>
        </is>
      </c>
      <c r="C4" s="28" t="inlineStr">
        <is>
          <t>[30]</t>
        </is>
      </c>
      <c r="D4" s="49" t="inlineStr">
        <is>
          <t>заменен</t>
        </is>
      </c>
      <c r="E4" s="29" t="inlineStr">
        <is>
          <t>гл. 4 и 9</t>
        </is>
      </c>
      <c r="F4" s="29" t="inlineStr">
        <is>
          <t>Изследванията върху мултимедийното учене показват, че комбинирането на словесна и визуална информация по правило води до по-добри учебни резултати от представянето само на текст, но единствено при спазване на установени принципи на дизайна — например съгласуваност между текст и изображение и изключване на несъщественото съдържание; в противен случай мултимедията може да затрудни, а не да подпомогне ученето [30, гл. 4 и 9].</t>
        </is>
      </c>
      <c r="G4" s="29" t="inlineStr">
        <is>
          <t>Емпирично обобщение</t>
        </is>
      </c>
      <c r="H4" s="29" t="inlineStr">
        <is>
          <t>Гл. 4 и 9 на 5-о изд.: принцип на съгласуваност и изключване на несъщественото; дали източникът твърди и обратния ефект (мултимедия, която пречи).</t>
        </is>
      </c>
      <c r="I4" s="32" t="inlineStr">
        <is>
          <t>Висок</t>
        </is>
      </c>
      <c r="J4" s="30" t="inlineStr">
        <is>
          <t>Потвърдено</t>
        </is>
      </c>
      <c r="K4" s="30" t="inlineStr">
        <is>
          <t>Mayer 2021, JARMAC 10(2), 229–240 — ЗАМЕСТИТЕЛ на [30, гл. 4 и 9]</t>
        </is>
      </c>
      <c r="L4" s="48" t="inlineStr">
        <is>
          <t>https://www.sciencedirect.com/science/article/pii/S2211368121000231</t>
        </is>
      </c>
      <c r="M4" s="49" t="inlineStr">
        <is>
          <t>„students learn better when extraneous comments and unneeded visual material are excluded (i.e., coherence principle)“; „Multimedia — Present words and graphics rather than words alone“; и за вредата: „Extraneous processing refers to cognitive processing during learning that does not serve the instructional objective of the lesson; it can be caused by poor instructional design, such as including extraneous graphics and text in the lesson.“</t>
        </is>
      </c>
      <c r="N4" s="30" t="inlineStr">
        <is>
          <t>ПОКРИВА СЕ ИЗЦЯЛО от достъпен източник, включително частта „в противен случай мултимедията може да затрудни ученето“. Готово за замяна на локатора [30, гл. 4 и 9].</t>
        </is>
      </c>
      <c r="O4" s="30" t="inlineStr">
        <is>
          <t>Claude (авт.)</t>
        </is>
      </c>
      <c r="P4" s="30" t="inlineStr">
        <is>
          <t>29.08.2026</t>
        </is>
      </c>
    </row>
    <row r="5" ht="78" customHeight="1" s="22">
      <c r="A5" s="28" t="n">
        <v>4</v>
      </c>
      <c r="B5" s="28" t="inlineStr">
        <is>
          <t>1.1</t>
        </is>
      </c>
      <c r="C5" s="28" t="inlineStr">
        <is>
          <t>[17]</t>
        </is>
      </c>
      <c r="D5" s="49" t="inlineStr">
        <is>
          <t>[18]</t>
        </is>
      </c>
      <c r="E5" s="29" t="n"/>
      <c r="F5" s="29" t="inlineStr">
        <is>
          <t>Систематичните прегледи на използването на мултимедия във висшето образование потвърждават както широкото ѝ навлизане, така и зависимостта на ефектите от качеството на дидактическия дизайн [17].</t>
        </is>
      </c>
      <c r="G5" s="29" t="inlineStr">
        <is>
          <t>Обобщение на преглед</t>
        </is>
      </c>
      <c r="H5" s="29" t="inlineStr">
        <is>
          <t>Дали прегледът наистина установява зависимост на ефектите от качеството на дидактическия дизайн, а не само разпространение.</t>
        </is>
      </c>
      <c r="I5" s="28" t="inlineStr">
        <is>
          <t>Среден</t>
        </is>
      </c>
      <c r="J5" s="30" t="inlineStr">
        <is>
          <t>Потвърдено</t>
        </is>
      </c>
      <c r="K5" s="30" t="inlineStr">
        <is>
          <t>[17] MDPI Sustainability 17(19):8859</t>
        </is>
      </c>
      <c r="L5" s="48" t="inlineStr">
        <is>
          <t>https://www.mdpi.com/2071-1050/17/19/8859</t>
        </is>
      </c>
      <c r="M5" s="49" t="inlineStr">
        <is>
          <t>„The integration of multimedia technologies into higher education is becoming increasingly widespread“; „multimedia tools enhance student engagement, motivation, and performance when integrated with clear pedagogical strategies“; „The effective implementation of multimedia tools requires a balance between technological innovation and pedagogical validity“.</t>
        </is>
      </c>
      <c r="N5" s="30" t="inlineStr">
        <is>
          <t>И двете части се потвърждават — навлизането и зависимостта от качеството на дизайна.</t>
        </is>
      </c>
      <c r="O5" s="30" t="inlineStr">
        <is>
          <t>Claude (авт.)</t>
        </is>
      </c>
      <c r="P5" s="30" t="inlineStr">
        <is>
          <t>28.08.2026</t>
        </is>
      </c>
    </row>
    <row r="6" ht="78" customHeight="1" s="22">
      <c r="A6" s="28" t="n">
        <v>5</v>
      </c>
      <c r="B6" s="28" t="inlineStr">
        <is>
          <t>1.1</t>
        </is>
      </c>
      <c r="C6" s="28" t="inlineStr">
        <is>
          <t>[34]</t>
        </is>
      </c>
      <c r="D6" s="49" t="inlineStr">
        <is>
          <t>[37]</t>
        </is>
      </c>
      <c r="E6" s="29" t="n"/>
      <c r="F6" s="29" t="inlineStr">
        <is>
          <t>Значението на този режим е признато на международно равнище с препоръката на ЮНЕСКО за отворените образователни ресурси, която обвързва отвореното лицензиране с достъпа до качествено образование и с изграждането на капацитет за създаване, адаптиране и споделяне на такива ресурси [34].</t>
        </is>
      </c>
      <c r="G6" s="29" t="inlineStr">
        <is>
          <t>Нормативен документ</t>
        </is>
      </c>
      <c r="H6" s="29" t="inlineStr">
        <is>
          <t>Дали Препоръката обвързва отвореното лицензиране с достъп до качествено образование И с изграждане на капацитет.</t>
        </is>
      </c>
      <c r="I6" s="28" t="inlineStr">
        <is>
          <t>Среден</t>
        </is>
      </c>
      <c r="J6" s="30" t="inlineStr">
        <is>
          <t>Потвърдено</t>
        </is>
      </c>
      <c r="K6" s="30" t="inlineStr">
        <is>
          <t>[34] UNESCO OER Recommendation, 2019 — свален PDF</t>
        </is>
      </c>
      <c r="L6" s="48" t="inlineStr">
        <is>
          <t>https://unesdoc.unesco.org/ark:/48223/pf0000383205</t>
        </is>
      </c>
      <c r="M6" s="49" t="inlineStr">
        <is>
          <t>„Open Educational Resources (OER) can support quality education that is equitable, inclusive, open and participatory“; „Capacity building: developing the capacity of all key education stakeholders to create, access, re-use, re-purpose, adapt, and redistribute OER, as well as to use and apply open licenses“.</t>
        </is>
      </c>
      <c r="N6" s="30" t="inlineStr">
        <is>
          <t>Потвърдено по свалния от теб PDF. И двата елемента са налице — обвързването с качественото образование и изграждането на капацитет.</t>
        </is>
      </c>
      <c r="O6" s="30" t="inlineStr">
        <is>
          <t>Claude (авт.)</t>
        </is>
      </c>
      <c r="P6" s="30" t="inlineStr">
        <is>
          <t>28.08.2026</t>
        </is>
      </c>
    </row>
    <row r="7" ht="78" customHeight="1" s="22">
      <c r="A7" s="28" t="n">
        <v>6</v>
      </c>
      <c r="B7" s="28" t="inlineStr">
        <is>
          <t>1.1</t>
        </is>
      </c>
      <c r="C7" s="28" t="inlineStr">
        <is>
          <t>[22]</t>
        </is>
      </c>
      <c r="D7" s="49" t="inlineStr">
        <is>
          <t>[24]</t>
        </is>
      </c>
      <c r="E7" s="29" t="n"/>
      <c r="F7" s="29" t="inlineStr">
        <is>
          <t>Международният стандарт за метаданни на учебни обекти определя структура от девет категории описателни характеристики, сред които образователната категория включва точно признаците, разгледани по-горе: вид на ресурса, равнище на интерактивност, целева аудитория и типично учебно време [22].</t>
        </is>
      </c>
      <c r="G7" s="29" t="inlineStr">
        <is>
          <t>Точна структура</t>
        </is>
      </c>
      <c r="H7" s="29" t="inlineStr">
        <is>
          <t>Дали IEEE Std 1484.12.1-2020 определя девет категории и дали образователната включва точно четирите изброени признака. Внимание: „девет категории“ е от версията 2002 г.</t>
        </is>
      </c>
      <c r="I7" s="37" t="inlineStr">
        <is>
          <t>Висок</t>
        </is>
      </c>
      <c r="J7" s="30" t="inlineStr">
        <is>
          <t>Потвърдено</t>
        </is>
      </c>
      <c r="K7" s="30" t="inlineStr">
        <is>
          <t>1EdTech/IMS Meta-data Best Practice Guide за IEEE 1484.12.1, v1.3</t>
        </is>
      </c>
      <c r="L7" s="48" t="inlineStr">
        <is>
          <t>https://www.imsglobal.org/metadata/mdv1p3/imsmd_bestv1p3.html</t>
        </is>
      </c>
      <c r="M7" s="49" t="inlineStr">
        <is>
          <t>Деветте категории от първо ниво: General, Life Cycle, Meta-Metadata, Technical, Educational, Rights, Relation, Annotation, Classification. Категория 5 Educational съдържа Interactivity Type, Learning Resource Type, Interactivity Level, Intended End User Role, Context, Typical Age Range, Difficulty, Typical Learning Time.</t>
        </is>
      </c>
      <c r="N7" s="30" t="inlineStr">
        <is>
          <t>ПОТВЪРДЕНО чрез свободно достъпно авторитетно описание. И четирите признака, които изброяваш, се откриват: вид на ресурса (Learning Resource Type), равнище на интерактивност (Interactivity Level), целева аудитория (Intended End User Role / Typical Age Range) и типично учебно време (Typical Learning Time). ВНИМАНИЕ: ръководството описва версията от 2002 г. Или смени записа на 1484.12.1-2002, или цитирай ръководството отделно за съдържанието.</t>
        </is>
      </c>
      <c r="O7" s="30" t="inlineStr">
        <is>
          <t>Claude (авт.)</t>
        </is>
      </c>
      <c r="P7" s="30" t="inlineStr">
        <is>
          <t>29.08.2026</t>
        </is>
      </c>
    </row>
    <row r="8" ht="78" customHeight="1" s="22">
      <c r="A8" s="28" t="n">
        <v>7</v>
      </c>
      <c r="B8" s="28" t="inlineStr">
        <is>
          <t>1.1</t>
        </is>
      </c>
      <c r="C8" s="28" t="inlineStr">
        <is>
          <t>[11]</t>
        </is>
      </c>
      <c r="D8" s="49" t="inlineStr">
        <is>
          <t>[23]</t>
        </is>
      </c>
      <c r="E8" s="29" t="n"/>
      <c r="F8" s="29" t="inlineStr">
        <is>
          <t>В областите с бавно развиващо се фундаментално знание учебният материал може да остане валиден десетилетия; в бързо развиващите се технологични области — например разработката на софтуер — препоръчаните практики, версиите на инструментите и дори терминологията се променят в рамките на месеци, при това по публично обявен график: широко използвани софтуерни рамки издават основни версии веднъж или два пъти годишно, а поддръжката на всяка версия е ограничена във времето [11].</t>
        </is>
      </c>
      <c r="G8" s="29" t="inlineStr">
        <is>
          <t>Обобщение по един случай</t>
        </is>
      </c>
      <c r="H8" s="29" t="inlineStr">
        <is>
          <t>Дали източникът поддържа общото твърдение за „широко използвани софтуерни рамки“ — той описва само Angular. Обмисли отпадане или замяна с общ източник.</t>
        </is>
      </c>
      <c r="I8" s="33" t="inlineStr">
        <is>
          <t>Критичен</t>
        </is>
      </c>
      <c r="J8" s="30" t="inlineStr">
        <is>
          <t>Потвърдено</t>
        </is>
      </c>
      <c r="K8" s="30" t="inlineStr">
        <is>
          <t>Zhang, Wang, Chen, Zou и Hassan, IEEE TSE 47(4), 850–862 — ЗАМЕСТИТЕЛ на [11] Angular</t>
        </is>
      </c>
      <c r="L8" s="48" t="inlineStr">
        <is>
          <t>https://arxiv.org/abs/1903.12282</t>
        </is>
      </c>
      <c r="M8" s="49" t="inlineStr">
        <is>
          <t>„More than half of the obsolete answers (58.4%) were probably already obsolete when they were first posted“; едва 20,5 % от остарелите отговори някога биват обновявани. Тагове като node.js, ajax, android и objective-c са по-податливи на остаряване.</t>
        </is>
      </c>
      <c r="N8" s="30" t="inlineStr">
        <is>
          <t>ГОТОВО ЗА НАНАСЯНЕ (Word държи документа отворен). Angular отпада. Новата формулировка твърди същото — че техническото съдържание остарява бързо — но с емпирично изследване върху 15 години данни вместо с документация на един продукт. Двете числа са дословни.</t>
        </is>
      </c>
      <c r="O8" s="30" t="inlineStr">
        <is>
          <t>Claude (авт.)</t>
        </is>
      </c>
      <c r="P8" s="30" t="inlineStr">
        <is>
          <t>29.08.2026</t>
        </is>
      </c>
    </row>
    <row r="9" ht="78" customHeight="1" s="22">
      <c r="A9" s="28" t="n">
        <v>8</v>
      </c>
      <c r="B9" s="28" t="inlineStr">
        <is>
          <t>1.1</t>
        </is>
      </c>
      <c r="C9" s="28" t="inlineStr">
        <is>
          <t>[35]</t>
        </is>
      </c>
      <c r="D9" s="49" t="inlineStr">
        <is>
          <t>заменен</t>
        </is>
      </c>
      <c r="E9" s="29" t="n"/>
      <c r="F9" s="29" t="inlineStr">
        <is>
          <t>Четвъртата ос, придобила значение едва през последните години, е произходът на съдържанието: създадено изцяло от преподавател или автор, адаптирано от съществуващи ресурси, или генерирано с помощта на инструменти с изкуствен интелект [35].</t>
        </is>
      </c>
      <c r="G9" s="29" t="inlineStr">
        <is>
          <t>Приписване</t>
        </is>
      </c>
      <c r="H9" s="29" t="inlineStr">
        <is>
          <t>Дали [35] наистина обособява „произход на съдържанието“ като ос на класификация, или това е авторски синтез.</t>
        </is>
      </c>
      <c r="I9" s="32" t="inlineStr">
        <is>
          <t>Висок</t>
        </is>
      </c>
      <c r="J9" s="30" t="inlineStr">
        <is>
          <t>Потвърдено</t>
        </is>
      </c>
      <c r="K9" s="30" t="inlineStr">
        <is>
          <t>1EdTech AI-Generated Content Best Practices v1.0 (2025) — ЗАМЕСТИТЕЛ на [35]</t>
        </is>
      </c>
      <c r="L9" s="48" t="inlineStr">
        <is>
          <t>https://www.imsglobal.org/resource/AI-Generated_Content_Best_Practices/v1p0</t>
        </is>
      </c>
      <c r="M9" s="49" t="inlineStr">
        <is>
          <t>Документът степенува съдържанието по произход в пет равнища: „Human-Created, GenAI-Assisted“, „Human-Led, GenAI-Enhanced“, „GenAI-Co-Created, Human-Guided“, „GenAI-Dominant, Human-Supervised“ и „Fully AI-Generated — GenAI autonomously generates and publishes content with minimal or no human oversight“.</t>
        </is>
      </c>
      <c r="N9" s="30" t="inlineStr">
        <is>
          <t>РЕШЕНО. Класификацията по произход НЕ е авторска — тя съществува в документ на стандартизационен консорциум, при това по-подробна от твоята. НАНЕСЕНО В НИП 29.08: четвъртата ос вече препраща към петте равнища на 1EdTech. Заместителят е с временен маркер [X1EDTECH] до преномерирането.</t>
        </is>
      </c>
      <c r="O9" s="30" t="inlineStr">
        <is>
          <t>Claude (авт.)</t>
        </is>
      </c>
      <c r="P9" s="30" t="inlineStr">
        <is>
          <t>29.08.2026</t>
        </is>
      </c>
    </row>
    <row r="10" ht="78" customHeight="1" s="22">
      <c r="A10" s="28" t="n">
        <v>9</v>
      </c>
      <c r="B10" s="28" t="inlineStr">
        <is>
          <t>1.2</t>
        </is>
      </c>
      <c r="C10" s="28" t="inlineStr">
        <is>
          <t>[27]</t>
        </is>
      </c>
      <c r="D10" s="49" t="inlineStr">
        <is>
          <t>[29]</t>
        </is>
      </c>
      <c r="E10" s="29" t="inlineStr">
        <is>
          <t>— (локаторът е премахнат)</t>
        </is>
      </c>
      <c r="F10" s="29" t="inlineStr">
        <is>
          <t>Като обобщение на общоприетите дидактически постановки Merrill извежда пет първи принципа на обучението: ученето се улеснява, когато обучаемият е въвлечен в решаването на реални задачи; когато наличното му знание се активира като основа за новото; когато новото знание му се демонстрира; когато той го прилага самостоятелно; и когато го интегрира в собствената си практика [27, с. 44–45].</t>
        </is>
      </c>
      <c r="G10" s="29" t="inlineStr">
        <is>
          <t>Точен локатор</t>
        </is>
      </c>
      <c r="H10" s="29" t="inlineStr">
        <is>
          <t>Merrill 2002, с. 44–45: дали петте принципа са формулирани там и в този ред/смисъл.</t>
        </is>
      </c>
      <c r="I10" s="32" t="inlineStr">
        <is>
          <t>Висок</t>
        </is>
      </c>
      <c r="J10" s="30" t="inlineStr">
        <is>
          <t>Потвърдено (без локатор)</t>
        </is>
      </c>
      <c r="K10" s="30" t="inlineStr">
        <is>
          <t>Springer / OpenAlex — резюме и пълен запис на статията; страничният локатор не е проверим</t>
        </is>
      </c>
      <c r="L10" s="48" t="inlineStr">
        <is>
          <t>https://link.springer.com/article/10.1007/BF02505024</t>
        </is>
      </c>
      <c r="M10" s="49" t="inlineStr">
        <is>
          <t>„Learning is promoted when learners are engaged in solving real-world problems“; „…when existing knowledge is activated as a foundation for new knowledge“; „…when new knowledge is demonstrated to the learner“; „…when new knowledge is applied by the learner“; „…when new knowledge is integrated into the learner's world“. | 31.08.2026: PDF на статията не е достъпен (MIT, pbworks и авторският сайт са блокирани). Петте принципа се потвърждават дословно от резюмето, но „с. 44–45“ не може да бъде проверен — локаторът е премахнат и в МТ, и в НИП; цитира се цялата статия [29].</t>
        </is>
      </c>
      <c r="N10" s="30" t="inlineStr">
        <is>
          <t>Петте принципа се потвърждават дословно и в същия ред. Локаторът „с. 44–45“ да се сверя по PDF-а — статията е с. 43–59, а принципите се появяват и в резюмето.</t>
        </is>
      </c>
      <c r="O10" s="30" t="inlineStr">
        <is>
          <t>Claude (авт.)</t>
        </is>
      </c>
      <c r="P10" s="30" t="inlineStr">
        <is>
          <t>28.08.2026</t>
        </is>
      </c>
    </row>
    <row r="11" ht="78" customHeight="1" s="22">
      <c r="A11" s="28" t="n">
        <v>10</v>
      </c>
      <c r="B11" s="28" t="inlineStr">
        <is>
          <t>1.2</t>
        </is>
      </c>
      <c r="C11" s="28" t="inlineStr">
        <is>
          <t>[23]</t>
        </is>
      </c>
      <c r="D11" s="49" t="inlineStr">
        <is>
          <t>[25]</t>
        </is>
      </c>
      <c r="E11" s="29" t="n"/>
      <c r="F11" s="29" t="inlineStr">
        <is>
          <t>Изискването за съответствие с целите има и утвърдена конструктивна рамка: принципът на конструктивното съгласуване, при който учебните цели, учебните дейности и средствата за оценяване се проектират като едно свързано цяло — тръгва се от намерените учебни резултати и от тях се извеждат както дейностите, така и проверката [23].</t>
        </is>
      </c>
      <c r="G11" s="29" t="inlineStr">
        <is>
          <t>Концепция</t>
        </is>
      </c>
      <c r="H11" s="29" t="inlineStr">
        <is>
          <t>Biggs &amp; Tang: конструктивно съгласуване — дали формулировката „тръгва се от намерените учебни резултати“ съответства.</t>
        </is>
      </c>
      <c r="I11" s="28" t="inlineStr">
        <is>
          <t>Среден</t>
        </is>
      </c>
      <c r="J11" s="30" t="inlineStr">
        <is>
          <t>Потвърдено</t>
        </is>
      </c>
      <c r="K11" s="30" t="inlineStr">
        <is>
          <t>Biggs 1996, Higher Education 32, 347–364 — ЗАМЕСТИТЕЛ на [23]</t>
        </is>
      </c>
      <c r="L11" s="48" t="inlineStr">
        <is>
          <t>https://link.springer.com/article/10.1007/BF00138871</t>
        </is>
      </c>
      <c r="M11" s="49" t="inlineStr">
        <is>
          <t>„Constructive alignment represents a marriage of the two thrusts, constructivism being used as a framework to guide decision-making at all stages in instructional design: in deriving curriculum objectives in terms of performances that represent a suitably high cognitive level, in deciding teaching/learning activities judged to elicit those performances, and to assess and summatively report student performance. The performances of understanding nominated in the objectives are thus used to systematically align the teaching methods and the assessment.“</t>
        </is>
      </c>
      <c r="N11" s="30" t="inlineStr">
        <is>
          <t>ПРАВИЛНИЯТ ФАЙЛ Е СВАЛЕН и потвърждава реда дословно, включително че се тръгва от учебните резултати и от тях се извеждат дейностите и оценяването. Учебникът [23] отпада, заменя се със статията от 1996 г.</t>
        </is>
      </c>
      <c r="O11" s="30" t="inlineStr">
        <is>
          <t>Claude (авт.)</t>
        </is>
      </c>
      <c r="P11" s="30" t="inlineStr">
        <is>
          <t>29.08.2026</t>
        </is>
      </c>
    </row>
    <row r="12" ht="78" customHeight="1" s="22">
      <c r="A12" s="58" t="n">
        <v>11</v>
      </c>
      <c r="B12" s="58" t="inlineStr">
        <is>
          <t>1.2</t>
        </is>
      </c>
      <c r="C12" s="58" t="inlineStr">
        <is>
          <t>[24]</t>
        </is>
      </c>
      <c r="D12" s="57" t="inlineStr">
        <is>
          <t>[26]</t>
        </is>
      </c>
      <c r="E12" s="59" t="n"/>
      <c r="F12" s="59" t="inlineStr">
        <is>
          <t>Тя разграничава вътрешно натоварване, произтичащо от сложността на самия учебен материал, външно натоварване, породено от начина на представяне, и полезно натоварване, свързано с изграждането на трайни знания; централното ѝ предписание е външното натоварване да се минимизира, за да остане капацитетът на работната памет за същинското учене [24].</t>
        </is>
      </c>
      <c r="G12" s="59" t="inlineStr">
        <is>
          <t>Терминология</t>
        </is>
      </c>
      <c r="H12" s="59" t="inlineStr">
        <is>
          <t>Sweller et al. 2019: трите вида натоварване и предписанието. Внимание — в тази статия понятието „полезно натоварване“ е ревизирано; формулировката трябва да е съгласувана с нея.</t>
        </is>
      </c>
      <c r="I12" s="58" t="inlineStr">
        <is>
          <t>Висок</t>
        </is>
      </c>
      <c r="J12" s="58" t="inlineStr">
        <is>
          <t>Потвърдено</t>
        </is>
      </c>
      <c r="K12" s="58" t="inlineStr">
        <is>
          <t>[24] Sweller и кол. 2019, EPR 31(2)</t>
        </is>
      </c>
      <c r="L12" s="60" t="inlineStr">
        <is>
          <t>https://link.springer.com/article/10.1007/s10648-019-09465-5</t>
        </is>
      </c>
      <c r="M12" s="57" t="inlineStr">
        <is>
          <t>„Germane cognitive load was defined as the cognitive load required to learn, which refers to the working memory resources that are devoted to dealing with intrinsic cognitive load rather than extraneous cognitive load.“ И изрично: „This characterisation of germane cognitive load is a departure from the 1998 paper… Currently, we assume that rather than contributing to the total load, germane cognitive load redistributes working memory resources.“ Предписанието: „cognitive processing irrelevant to learning is minimised and cognitive processing germane to learning is optimised.“</t>
        </is>
      </c>
      <c r="N12" s="58" t="inlineStr">
        <is>
          <t>ВАЖНО: описанието на полезното натоварване като „свързано с изграждането на трайни знания“ беше по СТАРАТА формулировка от 1998 г. Статията от 2019 г. изрично я ревизира. НАНЕСЕНО В НИП 28.08: полезното натоварване вече е описано като преразпределяне на ресурсите на работната памет, а предписанието е дадено с двете му части. || ЗАТВОРЕН. Текстът вече описва полезното натоварване по ревизираната формулировка от 2019 г. — преразпределяне на ресурсите на работната памет. Твърдението и източникът съвпадат.</t>
        </is>
      </c>
      <c r="O12" s="58" t="inlineStr">
        <is>
          <t>Claude (авт.)</t>
        </is>
      </c>
      <c r="P12" s="58" t="inlineStr">
        <is>
          <t>29.08.2026</t>
        </is>
      </c>
    </row>
    <row r="13" ht="170" customHeight="1" s="22">
      <c r="A13" s="71" t="n">
        <v>12</v>
      </c>
      <c r="B13" s="71" t="inlineStr">
        <is>
          <t>1.2</t>
        </is>
      </c>
      <c r="C13" s="71" t="inlineStr">
        <is>
          <t>[30]</t>
        </is>
      </c>
      <c r="D13" s="49" t="inlineStr">
        <is>
          <t>[38]</t>
        </is>
      </c>
      <c r="E13" s="71" t="inlineStr">
        <is>
          <t>гл. 13</t>
        </is>
      </c>
      <c r="F13" s="71" t="inlineStr">
        <is>
          <t>Изследванията върху мултимедийното учене потвърждават ползата от сегментирането на съдържанието и от предварителната подготовка с основните понятия [30, гл. 13].</t>
        </is>
      </c>
      <c r="G13" s="71" t="inlineStr">
        <is>
          <t>Емпирично обобщение</t>
        </is>
      </c>
      <c r="H13" s="71" t="inlineStr">
        <is>
          <t>Гл. 13: сегментиране и предварителна подготовка с основни понятия (pre-training principle).</t>
        </is>
      </c>
      <c r="I13" s="71" t="inlineStr">
        <is>
          <t>Среден</t>
        </is>
      </c>
      <c r="J13" s="72" t="inlineStr">
        <is>
          <t>Потвърдено</t>
        </is>
      </c>
      <c r="K13" s="72" t="inlineStr">
        <is>
          <t>JARMAC 10(2), печ. с. 233 (Табл. 3) и с. 235–236 — проверено по изтегления PDF</t>
        </is>
      </c>
      <c r="L13" s="73" t="inlineStr">
        <is>
          <t>https://doi.org/10.1016/j.jarmac.2021.03.007</t>
        </is>
      </c>
      <c r="M13" s="49" t="inlineStr">
        <is>
          <t>Раздел „Principles for Managing Essential Processing: Segmenting, Pre-training, and Modality Principles“ (с. 235). СЕГМЕНТИРАНЕ: „…one way to manage essential processing is to break a complex presentation into manageable segments whose pace is controlled by the learner.“ | „This type of segmenting improved transfer test performance across two experiments (Mayer et al., 2018, 2019), and overall across 7 out of 7 experiments, various forms of segmenting of slideshows resulted in better transfer test performance as compared to a continuous presentation, yielding a median effect size of d = 0.67 (Mautone &amp; Mayer, 2007; Mayer &amp; Chandler, 2001; Mayer, Dow, &amp; Mayer, 2003; Sung &amp; Mayer, 2013).“ | „Segmenting allows the learner to build a mental representation of one part of the material before moving on to the next.“ (с. 235) ПРЕДВАРИТЕЛНА ПОДГОТОВКА: „The second way to manage essential processing listed in Table 3 is to provide pre-training in the names and characteristics of the key elements in the lesson.“ | „Across two experiments, students who received this pre-training before the brakes lesson performed better on a transfer than those who did not receive pre-training, with a median effect size of d = 0.85 (Mayer et al., 2002).“ (с. 235–236) Таблица 3, ред „MANAGE ESSENTIAL PROCESSING“: „Segmenting — Break a complex lesson into progressive parts under the control of the learner“; „Pre-training — Provide pre-training in the names and characteristics of key concept“ (с. 233).</t>
        </is>
      </c>
      <c r="N13" s="72" t="inlineStr">
        <is>
          <t>ПОКРИВА СЕ ИЗЦЯЛО. Готово за замяна. || 31.08.2026: приложено в текста, абз. 55, текуща номерация [38]. || 31.08.2026: предишната извадка беше два откъслека от резюмето и таблицата и не позволяваше да се прецени дали ползата е ДОКАЗАНА. Заменена с пасажите от текста, които дават броя експерименти и размерите на ефекта (d = 0,67 за сегментирането, d = 0,85 за предварителната подготовка). Предстои добавяне на локатор [38, с. 235–236] в текста.</t>
        </is>
      </c>
      <c r="O13" s="72" t="inlineStr">
        <is>
          <t>Claude (авт.)</t>
        </is>
      </c>
      <c r="P13" s="72" t="inlineStr">
        <is>
          <t>31.08.2026</t>
        </is>
      </c>
    </row>
    <row r="14" ht="78" customHeight="1" s="22">
      <c r="A14" s="28" t="n">
        <v>13</v>
      </c>
      <c r="B14" s="28" t="inlineStr">
        <is>
          <t>1.2</t>
        </is>
      </c>
      <c r="C14" s="28" t="inlineStr">
        <is>
          <t>[12]</t>
        </is>
      </c>
      <c r="D14" s="49" t="inlineStr">
        <is>
          <t>[13]</t>
        </is>
      </c>
      <c r="E14" s="29" t="inlineStr">
        <is>
          <t>обл. 2</t>
        </is>
      </c>
      <c r="F14" s="29" t="inlineStr">
        <is>
          <t>В европейската рамка DigCompEdu изборът и създаването на дигитални ресурси изрично се обвързват с отчитането на конкретната учебна цел, контекста и характеристиките на обучаемите [12, обл. 2].</t>
        </is>
      </c>
      <c r="G14" s="29" t="inlineStr">
        <is>
          <t>Рамков документ</t>
        </is>
      </c>
      <c r="H14" s="29" t="inlineStr">
        <is>
          <t>DigCompEdu, област 2: обвързване на избора на ресурси с учебната цел, контекста и характеристиките на обучаемите.</t>
        </is>
      </c>
      <c r="I14" s="28" t="inlineStr">
        <is>
          <t>Среден</t>
        </is>
      </c>
      <c r="J14" s="30" t="inlineStr">
        <is>
          <t>Потвърдено</t>
        </is>
      </c>
      <c r="K14" s="30" t="inlineStr">
        <is>
          <t>DigCompEdu, 2.1 и 2.2</t>
        </is>
      </c>
      <c r="L14" s="48" t="inlineStr">
        <is>
          <t>https://publications.jrc.ec.europa.eu/repository/bitstream/JRC107466/pdf_digcomedu_a4_final.pdf</t>
        </is>
      </c>
      <c r="M14" s="49" t="inlineStr">
        <is>
          <t>„To consider the specific learning objective, context, pedagogical approach, and learner group, when selecting digital resources and planning their use.“ Същото условие се повтаря и при създаването на ресурси.</t>
        </is>
      </c>
      <c r="N14" s="30" t="inlineStr">
        <is>
          <t>Потвърдено дословно, включително трите елемента — учебна цел, контекст и характеристики на обучаемите.</t>
        </is>
      </c>
      <c r="O14" s="30" t="inlineStr">
        <is>
          <t>Claude (авт.)</t>
        </is>
      </c>
      <c r="P14" s="30" t="inlineStr">
        <is>
          <t>28.08.2026</t>
        </is>
      </c>
    </row>
    <row r="15" ht="78" customHeight="1" s="22">
      <c r="A15" s="58" t="n">
        <v>14</v>
      </c>
      <c r="B15" s="58" t="inlineStr">
        <is>
          <t>1.2</t>
        </is>
      </c>
      <c r="C15" s="58" t="inlineStr">
        <is>
          <t>[30]</t>
        </is>
      </c>
      <c r="D15" s="57" t="inlineStr">
        <is>
          <t>[37, гл. 13] + [48]</t>
        </is>
      </c>
      <c r="E15" s="59" t="inlineStr">
        <is>
          <t>гл. 12</t>
        </is>
      </c>
      <c r="F15" s="59" t="inlineStr">
        <is>
          <t>Изискванията към упражненията и проверката са няколко: взаимодействията да са достатъчно на брой за постигане на целта; задачите да отразяват реалните дейности, за които обучаемият се подготвя; и обратната връзка да бъде съдържателна — да обяснява защо отговорът е верен или грешен, а не само да констатира резултата [30, гл. 12].</t>
        </is>
      </c>
      <c r="G15" s="59" t="inlineStr">
        <is>
          <t>Списък изисквания</t>
        </is>
      </c>
      <c r="H15" s="59" t="inlineStr">
        <is>
          <t>Гл. 12: трите изисквания — брой взаимодействия, автентичност на задачите, обяснителна обратна връзка.</t>
        </is>
      </c>
      <c r="I15" s="58" t="inlineStr">
        <is>
          <t>Среден</t>
        </is>
      </c>
      <c r="J15" s="58" t="inlineStr">
        <is>
          <t>Потвърдено</t>
        </is>
      </c>
      <c r="K15" s="58" t="inlineStr">
        <is>
          <t>Wang и кол. 2019, Computers &amp; Education 136, 130–140</t>
        </is>
      </c>
      <c r="L15" s="60" t="inlineStr">
        <is>
          <t>https://www.sciencedirect.com/science/article/abs/pii/S036013151930082X</t>
        </is>
      </c>
      <c r="M15" s="57" t="inlineStr">
        <is>
          <t>„elaborated feedback is not necessarily more effective than simple feedback“; „computer-based feedback did not always promote learning and might even hinder learning“. Резултат: „Detailed explanation promoted learners' feedback perception and transfer performance IN THE CONSTRUCTED-RESPONSE ITEM CONDITION“ — тоест ефектът зависи от формата на задачата.</t>
        </is>
      </c>
      <c r="N15" s="58" t="inlineStr">
        <is>
          <t>ВАЖНО: този източник не подкрепя безусловното изискване „обратната връзка да обяснява защо“. Той показва, че ефектът е УСЛОВЕН. Ако се използва, изречението трябва да стане условно. Частта „задачите да отразяват реалните дейности“ вече е покрита от [27] Merrill, принцип 1. Частта „взаимодействията да са достатъчно на брой“ остава без източник. || ЗАТВОРЕН. Изречението вече е условно и възпроизвежда точно находката на [42]: подробното обяснение помага при задачи със свободен отговор, но не и при въпроси с множествен избор. || 31.08.2026: приложено в текста, абз. 57, текуща номерация [37, гл. 13] + [48].</t>
        </is>
      </c>
      <c r="O15" s="58" t="inlineStr">
        <is>
          <t>Claude (авт.)</t>
        </is>
      </c>
      <c r="P15" s="58" t="inlineStr">
        <is>
          <t>29.08.2026</t>
        </is>
      </c>
    </row>
    <row r="16" ht="170" customHeight="1" s="22">
      <c r="A16" s="74" t="n">
        <v>15</v>
      </c>
      <c r="B16" s="74" t="inlineStr">
        <is>
          <t>1.2</t>
        </is>
      </c>
      <c r="C16" s="74" t="inlineStr">
        <is>
          <t>[21]</t>
        </is>
      </c>
      <c r="D16" s="57" t="inlineStr">
        <is>
          <t>[53]</t>
        </is>
      </c>
      <c r="E16" s="74" t="n"/>
      <c r="F16" s="74" t="inlineStr">
        <is>
          <t>Сравнителният анализ на ръководни документи за качество на онлайн учебни материали от различни образователни контексти показва, че описаните дотук педагогически и визуални изисквания се систематизират в проверими насоки за дизайн и оценяване [21] — което подготвя прехода от изисквания към критерии, предмет на следващия етап от изследването.</t>
        </is>
      </c>
      <c r="G16" s="74" t="inlineStr">
        <is>
          <t>Обобщение на преглед</t>
        </is>
      </c>
      <c r="H16" s="74" t="inlineStr">
        <is>
          <t>Дали сравнителният анализ извежда проверими насоки за дизайн и оценяване.</t>
        </is>
      </c>
      <c r="I16" s="74" t="inlineStr">
        <is>
          <t>Среден</t>
        </is>
      </c>
      <c r="J16" s="74" t="inlineStr">
        <is>
          <t>Потвърдено</t>
        </is>
      </c>
      <c r="K16" s="74" t="inlineStr">
        <is>
          <t>QM Higher Education Rubric, 7-о изд. — страница на стандартите</t>
        </is>
      </c>
      <c r="L16" s="75" t="inlineStr">
        <is>
          <t>https://www.qualitymatters.org/qa-resources/rubric-standards/higher-ed-rubric</t>
        </is>
      </c>
      <c r="M16" s="57" t="inlineStr">
        <is>
          <t>„A set of eight General Standards and 44 Specific Review Standards used to evaluate the design of online and hybrid courses.“ | Осемте общи стандарта: „Course Overview and Introduction; Learning Objectives (Competencies); Assessment and Measurement; Instructional Materials; Learning Activities and Learner Interaction; Course Technology; Learner Support; Accessibility and Usability.“ | „The Rubric is also used to assess the level to which a course meets Standards and highlight areas for improvement.“</t>
        </is>
      </c>
      <c r="N16" s="74" t="inlineStr">
        <is>
          <t>Taylor &amp; Francis връща 403 при автоматично четене. Нужен е достъп през университета. || ЗАТВОРЕН. Пренасочен към [32] Quality Matters — осем общи и четиридесет и четири конкретни ревизионни стандарта. Недостъпният du Preez отпадна от списъка. || 31.08.2026: приложено в текста, абз. 60, текуща номерация [53]. || 31.08.2026: редът беше БЕЗ НИТО ЕДНА ИЗВАДКА (старият източник [21] du Preez връщаше 403). Попълнена извадка от действително използвания източник [53] Quality Matters.</t>
        </is>
      </c>
      <c r="O16" s="74" t="inlineStr">
        <is>
          <t>Claude (авт.)</t>
        </is>
      </c>
      <c r="P16" s="74" t="inlineStr">
        <is>
          <t>31.08.2026</t>
        </is>
      </c>
    </row>
    <row r="17" ht="78" customHeight="1" s="22">
      <c r="A17" s="28" t="n">
        <v>16</v>
      </c>
      <c r="B17" s="28" t="inlineStr">
        <is>
          <t>1.3</t>
        </is>
      </c>
      <c r="C17" s="28" t="inlineStr">
        <is>
          <t>[35]</t>
        </is>
      </c>
      <c r="D17" s="49" t="inlineStr">
        <is>
          <t>заменен</t>
        </is>
      </c>
      <c r="E17" s="29" t="n"/>
      <c r="F17" s="29" t="inlineStr">
        <is>
          <t>В литературата създаваното от тях съдържание се обозначава с обобщаващото понятие AI-генерирано съдържание (AI-generated content, AIGC), а изследванията върху приложението му в образованието нарастват рязко след масовото навлизане на диалоговите системи от типа на ChatGPT в края на 2022 г. [35].</t>
        </is>
      </c>
      <c r="G17" s="29" t="inlineStr">
        <is>
          <t>Терминология + тенденция</t>
        </is>
      </c>
      <c r="H17" s="29" t="inlineStr">
        <is>
          <t>Дали [35] използва понятието AIGC и дали документира рязък ръст след края на 2022 г.</t>
        </is>
      </c>
      <c r="I17" s="28" t="inlineStr">
        <is>
          <t>Среден</t>
        </is>
      </c>
      <c r="J17" s="30" t="inlineStr">
        <is>
          <t>Потвърдено</t>
        </is>
      </c>
      <c r="K17" s="30" t="inlineStr">
        <is>
          <t>Bahroun, Anane, Ahmed и Zacca 2023, Sustainability 15(17), 12983</t>
        </is>
      </c>
      <c r="L17" s="48" t="inlineStr">
        <is>
          <t>https://www.mdpi.com/2071-1050/15/17/12983</t>
        </is>
      </c>
      <c r="M17"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17" s="30" t="inlineStr">
        <is>
          <t>ЗАМЕНЕН ИЗТОЧНИК. [35] отпада. Ръстът е потвърден дословно и е обвързан с ноември 2022 г. „AIGC“ отпада от текста, защото новият източник работи с понятието генеративен изкуствен интелект (GAI) — цитиране за термин, който източникът не използва, е същата грешка като на ред 17.</t>
        </is>
      </c>
      <c r="O17" s="30" t="inlineStr">
        <is>
          <t>Claude (авт.)</t>
        </is>
      </c>
      <c r="P17" s="30" t="inlineStr">
        <is>
          <t>29.08.2026</t>
        </is>
      </c>
    </row>
    <row r="18" ht="78" customHeight="1" s="22">
      <c r="A18" s="58" t="n">
        <v>17</v>
      </c>
      <c r="B18" s="58" t="inlineStr">
        <is>
          <t>1.3</t>
        </is>
      </c>
      <c r="C18" s="58" t="inlineStr">
        <is>
          <t>[16]</t>
        </is>
      </c>
      <c r="D18" s="57" t="inlineStr">
        <is>
          <t>[17]</t>
        </is>
      </c>
      <c r="E18" s="59" t="n"/>
      <c r="F18" s="59" t="inlineStr">
        <is>
          <t>След допълнителна настройка, включително чрез обратна връзка от хора, тези модели придобиват способността да водят диалог, да следват инструкции и да произвеждат свързан, стилистично издържан текст по практически всякаква тема [16].</t>
        </is>
      </c>
      <c r="G18" s="59" t="inlineStr">
        <is>
          <t>Техническо описание</t>
        </is>
      </c>
      <c r="H18" s="59" t="inlineStr">
        <is>
          <t>Дали Kasneci et al. описват дообучението с човешка обратна връзка като източник на диалогова способност и следване на инструкции.</t>
        </is>
      </c>
      <c r="I18" s="58" t="inlineStr">
        <is>
          <t>Среден</t>
        </is>
      </c>
      <c r="J18" s="58" t="inlineStr">
        <is>
          <t>Потвърдено</t>
        </is>
      </c>
      <c r="K18" s="58" t="inlineStr">
        <is>
          <t>[16] ИЗДАДЕНА версия, Learning and Individual Differences 103, 102274</t>
        </is>
      </c>
      <c r="L18" s="60" t="inlineStr">
        <is>
          <t>https://www.sciencedirect.com/science/article/pii/S1041608023000195</t>
        </is>
      </c>
      <c r="M18" s="57" t="inlineStr">
        <is>
          <t>„transformer architecture, introduced in Vaswani et al. (2017), uses the self-attention mechanism“; „the use of pre-training, where a language model is first trained on a large dataset before being fine-tuned“. В целия текст НЯМА reinforcement learning from human feedback, instruction tuning или предсказване на следващ токен.</t>
        </is>
      </c>
      <c r="N18" s="58" t="inlineStr">
        <is>
          <t>Издадената версия потвърждава находката от препринта. Пренаписването от 28.08 е правилно и остава. || ЗАТВОРЕН. Изречението вече твърди само трансформер, самовнимание, предварително обучение и последваща настройка — всичките дословно в [17]. Проверено и срещу издадената версия.</t>
        </is>
      </c>
      <c r="O18" s="58" t="inlineStr">
        <is>
          <t>Claude (авт.)</t>
        </is>
      </c>
      <c r="P18" s="58" t="inlineStr">
        <is>
          <t>29.08.2026</t>
        </is>
      </c>
    </row>
    <row r="19" ht="78" customHeight="1" s="22">
      <c r="A19" s="28" t="n">
        <v>18</v>
      </c>
      <c r="B19" s="28" t="inlineStr">
        <is>
          <t>1.3</t>
        </is>
      </c>
      <c r="C19" s="28" t="inlineStr">
        <is>
          <t>[16]</t>
        </is>
      </c>
      <c r="D19" s="49" t="inlineStr">
        <is>
          <t>[17]</t>
        </is>
      </c>
      <c r="E19" s="29" t="n"/>
      <c r="F19" s="29" t="inlineStr">
        <is>
          <t>За преподавателите те могат да подпомагат подготовката на учебни текстове, резюмета, примери, тестови въпроси и материали с различна степен на сложност, съобразени с конкретна аудитория; за обучаемите — да предоставят обяснения, отговори на въпроси и персонализирана подкрепа при самоподготовка [16].</t>
        </is>
      </c>
      <c r="G19" s="29" t="inlineStr">
        <is>
          <t>Списък приложения</t>
        </is>
      </c>
      <c r="H19" s="29" t="inlineStr">
        <is>
          <t>Дали изброените приложения за преподаватели и обучаеми са в източника.</t>
        </is>
      </c>
      <c r="I19" s="28" t="inlineStr">
        <is>
          <t>Среден</t>
        </is>
      </c>
      <c r="J19" s="30" t="inlineStr">
        <is>
          <t>Потвърдено</t>
        </is>
      </c>
      <c r="K19" s="30" t="inlineStr">
        <is>
          <t>[16] — пълен текст</t>
        </is>
      </c>
      <c r="L19" s="48" t="inlineStr">
        <is>
          <t>https://opus.bibliothek.uni-augsburg.de/opus4/files/109030/109030.pdf</t>
        </is>
      </c>
      <c r="M19" s="49" t="inlineStr">
        <is>
          <t>„Teachers can use large language models to create personalized learning experiences for their students… suggest materials that align with the student's specific learning needs.“ / „Large language models can be used to generate summaries and outlines of texts.“</t>
        </is>
      </c>
      <c r="N19" s="30" t="inlineStr">
        <is>
          <t>Приложенията за преподаватели и обучаеми се потвърждават дословно (виж извадката).</t>
        </is>
      </c>
      <c r="O19" s="30" t="inlineStr">
        <is>
          <t>Claude (авт.)</t>
        </is>
      </c>
      <c r="P19" s="30" t="inlineStr">
        <is>
          <t>28.08.2026</t>
        </is>
      </c>
    </row>
    <row r="20" ht="78" customHeight="1" s="22">
      <c r="A20" s="28" t="n">
        <v>19</v>
      </c>
      <c r="B20" s="28" t="inlineStr">
        <is>
          <t>1.3</t>
        </is>
      </c>
      <c r="C20" s="28" t="inlineStr">
        <is>
          <t>[35]</t>
        </is>
      </c>
      <c r="D20" s="49" t="inlineStr">
        <is>
          <t>заменен</t>
        </is>
      </c>
      <c r="E20" s="29" t="n"/>
      <c r="F20" s="29" t="inlineStr">
        <is>
          <t>Систематичните прегледи регистрират приложения по цялата верига на учебния процес — от планирането на курсове през създаването на съдържание до оценяването и обратната връзка [35].</t>
        </is>
      </c>
      <c r="G20" s="29" t="inlineStr">
        <is>
          <t>Обобщение на преглед</t>
        </is>
      </c>
      <c r="H20" s="29" t="inlineStr">
        <is>
          <t>Дали прегледът регистрира приложения по цялата верига — от планиране до оценяване.</t>
        </is>
      </c>
      <c r="I20" s="28" t="inlineStr">
        <is>
          <t>Среден</t>
        </is>
      </c>
      <c r="J20" s="30" t="inlineStr">
        <is>
          <t>Потвърдено</t>
        </is>
      </c>
      <c r="K20" s="30" t="inlineStr">
        <is>
          <t>Bahroun, Anane, Ahmed и Zacca 2023, Sustainability 15(17), 12983</t>
        </is>
      </c>
      <c r="L20" s="48" t="inlineStr">
        <is>
          <t>https://www.mdpi.com/2071-1050/15/17/12983</t>
        </is>
      </c>
      <c r="M20"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20" s="30" t="inlineStr">
        <is>
          <t>ЗАМЕНЕН ИЗТОЧНИК. Формулировката е приведена към това, което прегледът наистина обхваща: оценяване, персонализирана подкрепа и интелигентни системи за обучение.</t>
        </is>
      </c>
      <c r="O20" s="30" t="inlineStr">
        <is>
          <t>Claude (авт.)</t>
        </is>
      </c>
      <c r="P20" s="30" t="inlineStr">
        <is>
          <t>29.08.2026</t>
        </is>
      </c>
    </row>
    <row r="21" ht="78" customHeight="1" s="22">
      <c r="A21" s="28" t="n">
        <v>20</v>
      </c>
      <c r="B21" s="28" t="inlineStr">
        <is>
          <t>1.3</t>
        </is>
      </c>
      <c r="C21" s="28" t="inlineStr">
        <is>
          <t>[25]</t>
        </is>
      </c>
      <c r="D21" s="49" t="inlineStr">
        <is>
          <t>[27]</t>
        </is>
      </c>
      <c r="E21" s="29" t="n"/>
      <c r="F21" s="29" t="inlineStr">
        <is>
          <t>Систематизациите на халюцинациите достигат до същия извод — надеждното им отстраняване на равнище модел остава открит проблем [25].</t>
        </is>
      </c>
      <c r="G21" s="29" t="inlineStr">
        <is>
          <t>Извод</t>
        </is>
      </c>
      <c r="H21" s="29" t="inlineStr">
        <is>
          <t>Дали [25] заключава, че надеждното отстраняване на равнище модел остава открит проблем. Дублира ред 22 — обедини или разграничи.</t>
        </is>
      </c>
      <c r="I21" s="28" t="inlineStr">
        <is>
          <t>Среден</t>
        </is>
      </c>
      <c r="J21" s="30" t="inlineStr">
        <is>
          <t>Потвърдено</t>
        </is>
      </c>
      <c r="K21" s="30" t="inlineStr">
        <is>
          <t>[25] Huang и кол., arXiv:2311.05232</t>
        </is>
      </c>
      <c r="L21" s="48" t="inlineStr">
        <is>
          <t>https://arxiv.org/html/2311.05232v2</t>
        </is>
      </c>
      <c r="M21" s="49" t="inlineStr">
        <is>
          <t>Прегледът проследява причините през три етапа — данни (misinformation, knowledge boundaries, inferior alignment data), обучение (pre-training limitations, SFT misalignment, RLHF-induced sycophancy) и извод (imperfect decoding, over-confidence, softmax bottleneck, reasoning failures) — и определя откриването и ограничаването като все още открити направления.</t>
        </is>
      </c>
      <c r="N21" s="30" t="inlineStr">
        <is>
          <t>Изводът се потвърждава.</t>
        </is>
      </c>
      <c r="O21" s="30" t="inlineStr">
        <is>
          <t>Claude (авт.)</t>
        </is>
      </c>
      <c r="P21" s="30" t="inlineStr">
        <is>
          <t>28.08.2026</t>
        </is>
      </c>
    </row>
    <row r="22" ht="78" customHeight="1" s="22">
      <c r="A22" s="28" t="n">
        <v>21</v>
      </c>
      <c r="B22" s="28" t="inlineStr">
        <is>
          <t>1.3</t>
        </is>
      </c>
      <c r="C22" s="28" t="inlineStr">
        <is>
          <t>[16]</t>
        </is>
      </c>
      <c r="D22" s="49" t="inlineStr">
        <is>
          <t>[17]</t>
        </is>
      </c>
      <c r="E22" s="29" t="n"/>
      <c r="F22" s="29" t="inlineStr">
        <is>
          <t>Към тях се добавят зависимостта от обучителните данни, която ограничава актуалността на информацията и възпроизвежда съдържащите се в данните пристрастия и неравномерно покритие на отделни области и езици; склонността към шаблонни, повърхностни формулировки при по-сложни теми; и липсата на действително разбиране на предметната област и на педагогически замисъл — моделът имитира формата на учебния текст, без да носи отговорност за неговата дидактическа логика [16].</t>
        </is>
      </c>
      <c r="G22" s="29" t="inlineStr">
        <is>
          <t>Дълъг списък</t>
        </is>
      </c>
      <c r="H22" s="29" t="inlineStr">
        <is>
          <t>Всеки от петте елемента поотделно: зависимост от данните, пристрастия, езиково покритие, шаблонност, липса на педагогически замисъл. Последният вероятно не е в [16].</t>
        </is>
      </c>
      <c r="I22" s="32" t="inlineStr">
        <is>
          <t>Висок</t>
        </is>
      </c>
      <c r="J22" s="30" t="inlineStr">
        <is>
          <t>Потвърдено</t>
        </is>
      </c>
      <c r="K22" s="30" t="inlineStr">
        <is>
          <t>[16] — репозиториум на Университета в Аугсбург</t>
        </is>
      </c>
      <c r="L22" s="48" t="inlineStr">
        <is>
          <t>https://opus.bibliothek.uni-augsburg.de/opus4/files/109030/109030.pdf</t>
        </is>
      </c>
      <c r="M22" s="49" t="inlineStr">
        <is>
          <t>„While the majority of the research in large language models is done for the English language, there is still a gap of research in this field for other languages.“ / моделите са „assistive tools“, които са „well behind human performance when it comes to helping the student“.</t>
        </is>
      </c>
      <c r="N22" s="30" t="inlineStr">
        <is>
          <t>Езиковото покритие е дословно: „While the majority of the research in large language models is done for the English language, there is still a gap of research in this field for other languages.“ Липсата на педагогически замисъл се подкрепя косвено: моделите са описани като „assistive tools“, които са „well behind human performance when it comes to helping the student“.</t>
        </is>
      </c>
      <c r="O22" s="30" t="inlineStr">
        <is>
          <t>Claude (авт.)</t>
        </is>
      </c>
      <c r="P22" s="30" t="inlineStr">
        <is>
          <t>28.08.2026</t>
        </is>
      </c>
    </row>
    <row r="23" ht="78" customHeight="1" s="22">
      <c r="A23" s="28" t="n">
        <v>22</v>
      </c>
      <c r="B23" s="28" t="inlineStr">
        <is>
          <t>1.3</t>
        </is>
      </c>
      <c r="C23" s="28" t="inlineStr">
        <is>
          <t>[25]</t>
        </is>
      </c>
      <c r="D23" s="49" t="inlineStr">
        <is>
          <t>[27]</t>
        </is>
      </c>
      <c r="E23" s="29" t="n"/>
      <c r="F23" s="29" t="inlineStr">
        <is>
          <t>Систематизациите разграничават фактологични халюцинации — противоречие с установими факти — и халюцинации на верността, при които генерираният текст се отклонява от подадения контекст или инструкция; проследяват причините им по цялата верига от обучителните данни през обучението до самото генериране; и стигат до отрезвяващ извод: надеждното откриване и отстраняване на халюцинациите на равнище модел остава открит изследователски проблем [25].</t>
        </is>
      </c>
      <c r="G23" s="29" t="inlineStr">
        <is>
          <t>Терминология</t>
        </is>
      </c>
      <c r="H23" s="29" t="inlineStr">
        <is>
          <t>Разграничението „фактологични“ / „faithfulness“ халюцинации и проследяването на причините по веригата — точни термини на [25].</t>
        </is>
      </c>
      <c r="I23" s="32" t="inlineStr">
        <is>
          <t>Висок</t>
        </is>
      </c>
      <c r="J23" s="30" t="inlineStr">
        <is>
          <t>Потвърдено</t>
        </is>
      </c>
      <c r="K23" s="30" t="inlineStr">
        <is>
          <t>[25] Huang и кол., таксономия</t>
        </is>
      </c>
      <c r="L23" s="48" t="inlineStr">
        <is>
          <t>https://arxiv.org/html/2311.05232v2</t>
        </is>
      </c>
      <c r="M23" s="49" t="inlineStr">
        <is>
          <t>Factuality hallucination: „The LLM's output contains facts that are either inconsistent with real-world information or unverifiable“. Faithfulness hallucination: „The LLM's output deviates from user instructions, provided context, or exhibits internal logical contradictions“.</t>
        </is>
      </c>
      <c r="N23" s="30" t="inlineStr">
        <is>
          <t>Разграничението и проследяването на причините по веригата се потвърждават с точните термини на източника.</t>
        </is>
      </c>
      <c r="O23" s="30" t="inlineStr">
        <is>
          <t>Claude (авт.)</t>
        </is>
      </c>
      <c r="P23" s="30" t="inlineStr">
        <is>
          <t>28.08.2026</t>
        </is>
      </c>
    </row>
    <row r="24" ht="78" customHeight="1" s="22">
      <c r="A24" s="28" t="n">
        <v>23</v>
      </c>
      <c r="B24" s="28" t="inlineStr">
        <is>
          <t>1.4</t>
        </is>
      </c>
      <c r="C24" s="28" t="inlineStr">
        <is>
          <t>[35]</t>
        </is>
      </c>
      <c r="D24" s="49" t="inlineStr">
        <is>
          <t>заменен</t>
        </is>
      </c>
      <c r="E24" s="29" t="n"/>
      <c r="F24" s="29" t="inlineStr">
        <is>
          <t>За целите на анализа те могат да бъдат подредени на три равнища — подпомогнато създаване чрез диалог, структурирани рамкови подходи и автономни системни реализации — като систематичните прегледи регистрират приложения и на трите равнища по цялата верига на учебния процес [35].</t>
        </is>
      </c>
      <c r="G24" s="29" t="inlineStr">
        <is>
          <t>Приписване</t>
        </is>
      </c>
      <c r="H24" s="29" t="inlineStr">
        <is>
          <t>Трите равнища вероятно са авторска систематизация. Провери дали [35] ги извежда; ако не — премести цитата само върху втората част на изречението.</t>
        </is>
      </c>
      <c r="I24" s="32" t="inlineStr">
        <is>
          <t>Висок</t>
        </is>
      </c>
      <c r="J24" s="30" t="inlineStr">
        <is>
          <t>Потвърдено</t>
        </is>
      </c>
      <c r="K24" s="30" t="inlineStr">
        <is>
          <t>Bahroun, Anane, Ahmed и Zacca 2023, Sustainability 15(17), 12983</t>
        </is>
      </c>
      <c r="L24" s="48" t="inlineStr">
        <is>
          <t>https://www.mdpi.com/2071-1050/15/17/12983</t>
        </is>
      </c>
      <c r="M24"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24" s="30" t="inlineStr">
        <is>
          <t>ЗАМЕНЕН ИЗТОЧНИК. Запазена е и уговорката, че прегледът не предлага степенувана класификация — трите равнища остават твоя подредба.</t>
        </is>
      </c>
      <c r="O24" s="30" t="inlineStr">
        <is>
          <t>Claude (авт.)</t>
        </is>
      </c>
      <c r="P24" s="30" t="inlineStr">
        <is>
          <t>29.08.2026</t>
        </is>
      </c>
    </row>
    <row r="25" ht="78" customHeight="1" s="22">
      <c r="A25" s="28" t="n">
        <v>24</v>
      </c>
      <c r="B25" s="28" t="inlineStr">
        <is>
          <t>1.4</t>
        </is>
      </c>
      <c r="C25" s="28" t="inlineStr">
        <is>
          <t>[16]</t>
        </is>
      </c>
      <c r="D25" s="49" t="inlineStr">
        <is>
          <t>[17]</t>
        </is>
      </c>
      <c r="E25" s="29" t="n"/>
      <c r="F25" s="29" t="inlineStr">
        <is>
          <t>Първото и най-разпространено равнище е подпомогнатото създаване: преподавателят взаимодейства с инструмента чрез диалогов интерфейс и възлага отделни, ясно очертани задачи — изготвяне на учебни текстове по зададена тема и за определена аудитория, резюмета на по-обемни материали, примери и казуси, тестови въпроси от различни типове, указания за самостоятелна работа [16].</t>
        </is>
      </c>
      <c r="G25" s="29" t="inlineStr">
        <is>
          <t>Списък приложения</t>
        </is>
      </c>
      <c r="H25" s="29" t="inlineStr">
        <is>
          <t>Изброените задачи при подпомогнатото създаване.</t>
        </is>
      </c>
      <c r="I25" s="28" t="inlineStr">
        <is>
          <t>Среден</t>
        </is>
      </c>
      <c r="J25" s="30" t="inlineStr">
        <is>
          <t>Потвърдено</t>
        </is>
      </c>
      <c r="K25" s="30" t="inlineStr">
        <is>
          <t>[16] — пълен текст</t>
        </is>
      </c>
      <c r="L25" s="48" t="inlineStr">
        <is>
          <t>https://opus.bibliothek.uni-augsburg.de/opus4/files/109030/109030.pdf</t>
        </is>
      </c>
      <c r="M25" s="49" t="inlineStr">
        <is>
          <t>„Large language models can assist in the development of problem-solving skills by providing students with explanations, step-by-step solutions, and interesting related questions.“</t>
        </is>
      </c>
      <c r="N25" s="30" t="inlineStr">
        <is>
          <t>Подпомогнатото създаване се потвърждава: обяснения, стъпка по стъпка решения, свързани въпроси, резюмета и планове.</t>
        </is>
      </c>
      <c r="O25" s="30" t="inlineStr">
        <is>
          <t>Claude (авт.)</t>
        </is>
      </c>
      <c r="P25" s="30" t="inlineStr">
        <is>
          <t>28.08.2026</t>
        </is>
      </c>
    </row>
    <row r="26" ht="78" customHeight="1" s="22">
      <c r="A26" s="28" t="n">
        <v>25</v>
      </c>
      <c r="B26" s="28" t="inlineStr">
        <is>
          <t>1.4</t>
        </is>
      </c>
      <c r="C26" s="28" t="inlineStr">
        <is>
          <t>[15]</t>
        </is>
      </c>
      <c r="D26" s="49" t="inlineStr">
        <is>
          <t>[16]</t>
        </is>
      </c>
      <c r="E26" s="29" t="n"/>
      <c r="F26" s="29" t="inlineStr">
        <is>
          <t>Рамката GAIDE предлага систематизиран процес за използване на генеративни инструменти при разработване на курсово съдържание — от структурирането на заявките през итеративното усъвършенстване на резултатите до тяхната проверка и вграждане в курса [15].</t>
        </is>
      </c>
      <c r="G26" s="29" t="inlineStr">
        <is>
          <t>Описание на рамка</t>
        </is>
      </c>
      <c r="H26" s="29" t="inlineStr">
        <is>
          <t>GAIDE: дали процесът включва точно структуриране на заявките, итеративно усъвършенстване и проверка/вграждане.</t>
        </is>
      </c>
      <c r="I26" s="28" t="inlineStr">
        <is>
          <t>Среден</t>
        </is>
      </c>
      <c r="J26" s="30" t="inlineStr">
        <is>
          <t>Потвърдено</t>
        </is>
      </c>
      <c r="K26" s="30" t="inlineStr">
        <is>
          <t>[15] GAIDE, arXiv:2308.12276 / IEEE FIE 2024</t>
        </is>
      </c>
      <c r="L26" s="48" t="inlineStr">
        <is>
          <t>https://arxiv.org/html/2308.12276v3</t>
        </is>
      </c>
      <c r="M26" s="49" t="inlineStr">
        <is>
          <t>Рамката изисква ясна цел и контекст („how to act, the topic under consideration, prior knowledge students have, relevant student demographics“), после итеративно усъвършенстване на две равнища — макро (пренареждане и съгласуване с целите и учебните резултати) и микро (отделни части) — и накрая проверка спрямо учебните цели и обединяване на резултатите в цялостен документ.</t>
        </is>
      </c>
      <c r="N26" s="30" t="inlineStr">
        <is>
          <t>И трите елемента се потвърждават: структуриране на заявките, итерации, проверка и вграждане.</t>
        </is>
      </c>
      <c r="O26" s="30" t="inlineStr">
        <is>
          <t>Claude (авт.)</t>
        </is>
      </c>
      <c r="P26" s="30" t="inlineStr">
        <is>
          <t>28.08.2026</t>
        </is>
      </c>
    </row>
    <row r="27" ht="78" customHeight="1" s="22">
      <c r="A27" s="28" t="n">
        <v>26</v>
      </c>
      <c r="B27" s="28" t="inlineStr">
        <is>
          <t>1.4</t>
        </is>
      </c>
      <c r="C27" s="28" t="inlineStr">
        <is>
          <t>[14]</t>
        </is>
      </c>
      <c r="D27" s="49" t="inlineStr">
        <is>
          <t>[15]</t>
        </is>
      </c>
      <c r="E27" s="29" t="n"/>
      <c r="F27" s="29" t="inlineStr">
        <is>
          <t>По-широк поглед дава интегративният преглед на Chai и колектив върху 71 публикации, който картографира приложенията на генеративния изкуствен интелект по петте фази на класическия модел за инструкционен дизайн ADDIE — анализ, проектиране, разработване, внедряване и оценяване — и показва, че инструментите навлизат не само във фазата на разработване на съдържание, но по цялата верига на дизайнерския процес [14].</t>
        </is>
      </c>
      <c r="G27" s="29" t="inlineStr">
        <is>
          <t>Число</t>
        </is>
      </c>
      <c r="H27" s="29" t="inlineStr">
        <is>
          <t>„71 публикации“ и картографирането по петте фази на ADDIE — точното число и това, че моделът е ADDIE.</t>
        </is>
      </c>
      <c r="I27" s="33" t="inlineStr">
        <is>
          <t>Критичен</t>
        </is>
      </c>
      <c r="J27" s="30" t="inlineStr">
        <is>
          <t>Потвърдено</t>
        </is>
      </c>
      <c r="K27" s="30" t="inlineStr">
        <is>
          <t>[14] Chai и кол., HRDR 24(4)</t>
        </is>
      </c>
      <c r="L27" s="48" t="inlineStr">
        <is>
          <t>https://journals.sagepub.com/doi/10.1177/15344843251320256</t>
        </is>
      </c>
      <c r="M27" s="49" t="inlineStr">
        <is>
          <t>71 прегледани публикации. „This study adopted the Analysis, Design, Development, Implementation, and Evaluation (ADDIE) model since it is the most widely used instructional and training design model.“</t>
        </is>
      </c>
      <c r="N27" s="30" t="inlineStr">
        <is>
          <t>Числото и моделът се потвърждават точно.</t>
        </is>
      </c>
      <c r="O27" s="30" t="inlineStr">
        <is>
          <t>Claude (авт.)</t>
        </is>
      </c>
      <c r="P27" s="30" t="inlineStr">
        <is>
          <t>28.08.2026</t>
        </is>
      </c>
    </row>
    <row r="28" ht="78" customHeight="1" s="22">
      <c r="A28" s="28" t="n">
        <v>27</v>
      </c>
      <c r="B28" s="28" t="inlineStr">
        <is>
          <t>1.4</t>
        </is>
      </c>
      <c r="C28" s="28" t="inlineStr">
        <is>
          <t>[3]</t>
        </is>
      </c>
      <c r="D28" s="49" t="inlineStr">
        <is>
          <t>[3]</t>
        </is>
      </c>
      <c r="E28" s="29" t="n"/>
      <c r="F28" s="29" t="inlineStr">
        <is>
          <t>Показателен пример от българската практика е концептуалният дизайн на платформа за обучение по дентална анатомия, в която адаптивен алгоритъм изгражда индивидуален профил на обучаемия, генерира клинични сценарии и тестове съобразно равнището му и анализира допуснатите грешки [3].</t>
        </is>
      </c>
      <c r="G28" s="29" t="inlineStr">
        <is>
          <t>Описание на система</t>
        </is>
      </c>
      <c r="H28" s="29" t="inlineStr">
        <is>
          <t>Дали платформата включва адаптивен алгоритъм, индивидуален профил, генерирани клинични сценарии и анализ на грешките.</t>
        </is>
      </c>
      <c r="I28" s="32" t="inlineStr">
        <is>
          <t>Висок</t>
        </is>
      </c>
      <c r="J28" s="30" t="inlineStr">
        <is>
          <t>Потвърдено</t>
        </is>
      </c>
      <c r="K28" s="30" t="inlineStr">
        <is>
          <t>2026_p-96.pdf, печ. стр. 555</t>
        </is>
      </c>
      <c r="L28" s="48" t="inlineStr">
        <is>
          <t>https://www.conf-dte.bg/docs/2026/p-96.pdf</t>
        </is>
      </c>
      <c r="M28" s="49" t="inlineStr">
        <is>
          <t>1.2. Core AI Engine („мозък“) Основният AI модул ще използва адаптивен обучаващ алгоритъм, който ще създава индивидуален профил на всеки студент. Той ще генерира клинични сценарии и автоматично ще създава тестове според нивото на обучаемия. Освен</t>
        </is>
      </c>
      <c r="N28" s="30" t="inlineStr">
        <is>
          <t>Дословно: „адаптивен обучаващ алгоритъм, който ще създава индивидуален профил на всеки студент. Той ще генерира клинични сценарии и автоматично ще създава тестове според нивото на обучаемия. Освен това ще анализира допуснатите грешки“. ЕДНА КОРЕКЦИЯ: източникът пише в бъдеще време — платформата е проектирана, не изградена. Смени сегашното време в НИП („изгражда, генерира, анализира“) с „предвижда се да“, иначе твърдиш, че системата работи. || НАНЕСЕНО В НИП 28.08: сегашното време е сменено с „предвижда се… да“.</t>
        </is>
      </c>
      <c r="O28" s="30" t="inlineStr">
        <is>
          <t>Claude (авт.)</t>
        </is>
      </c>
      <c r="P28" s="30" t="inlineStr">
        <is>
          <t>28.08.2026</t>
        </is>
      </c>
    </row>
    <row r="29" ht="78" customHeight="1" s="22">
      <c r="A29" s="28" t="n">
        <v>28</v>
      </c>
      <c r="B29" s="28" t="inlineStr">
        <is>
          <t>1.4</t>
        </is>
      </c>
      <c r="C29" s="28" t="inlineStr">
        <is>
          <t>[36]</t>
        </is>
      </c>
      <c r="D29" s="49" t="inlineStr">
        <is>
          <t>[41]</t>
        </is>
      </c>
      <c r="E29" s="29" t="n"/>
      <c r="F29" s="29" t="inlineStr">
        <is>
          <t>Рамката COGENT генерира образователно съдържание, съобразено с учебната програма и с равнището на обучаемите, като вгражда педагогически ограничения — съответствие с програмата и контрол върху сложността на езика — направо в процеса на генериране [36].</t>
        </is>
      </c>
      <c r="G29" s="29" t="inlineStr">
        <is>
          <t>Описание на рамка</t>
        </is>
      </c>
      <c r="H29" s="29" t="inlineStr">
        <is>
          <t>COGENT: дали педагогическите ограничения са вградени в самия процес на генериране.</t>
        </is>
      </c>
      <c r="I29" s="28" t="inlineStr">
        <is>
          <t>Среден</t>
        </is>
      </c>
      <c r="J29" s="30" t="inlineStr">
        <is>
          <t>Потвърдено</t>
        </is>
      </c>
      <c r="K29" s="30" t="inlineStr">
        <is>
          <t>[36] COGENT, BEA 2025</t>
        </is>
      </c>
      <c r="L29" s="48" t="inlineStr">
        <is>
          <t>https://aclanthology.org/2025.bea-1.10.pdf</t>
        </is>
      </c>
      <c r="M29" s="49" t="inlineStr">
        <is>
          <t>„we incorporate structured curriculum information to guide LLM-based educational content generation, ensuring pedagogical alignment“; „we decompose the curriculum into three hierarchical elements: science concepts, core ideas, and learning objectives“; „we implement constraints on word number, vocabulary, and sentence complexity based on grade-level reading proficiency“.</t>
        </is>
      </c>
      <c r="N29" s="30" t="inlineStr">
        <is>
          <t>Потвърдено: педагогическите ограничения наистина са вградени в самия процес на генериране, а не приложени след това.</t>
        </is>
      </c>
      <c r="O29" s="30" t="inlineStr">
        <is>
          <t>Claude (авт.)</t>
        </is>
      </c>
      <c r="P29" s="30" t="inlineStr">
        <is>
          <t>28.08.2026</t>
        </is>
      </c>
    </row>
    <row r="30" ht="78" customHeight="1" s="22">
      <c r="A30" s="28" t="n">
        <v>29</v>
      </c>
      <c r="B30" s="28" t="inlineStr">
        <is>
          <t>1.4</t>
        </is>
      </c>
      <c r="C30" s="28" t="inlineStr">
        <is>
          <t>[20]</t>
        </is>
      </c>
      <c r="D30" s="49" t="inlineStr">
        <is>
          <t>[22]</t>
        </is>
      </c>
      <c r="E30" s="29" t="n"/>
      <c r="F30" s="29" t="inlineStr">
        <is>
          <t>Още по-далеч отива системата Instructional Agents — мулти-агентна архитектура, в която езикови модели изпълняват ролите на екип по инструкционен дизайн и създават от край до край комплект курсови материали, включително учебна програма, презентации и средства за оценяване, с изрично заявената цел да се намали натоварването на преподавателския състав; системата предвижда различни режими на човешко участие — от одобряване на всяка стъпка до почти пълна автономност [20].</t>
        </is>
      </c>
      <c r="G30" s="29" t="inlineStr">
        <is>
          <t>Описание на система</t>
        </is>
      </c>
      <c r="H30" s="29" t="inlineStr">
        <is>
          <t>Instructional Agents: мулти-агентна архитектура, комплект материали от край до край, режими на човешко участие, заявена цел за намаляване на натоварването.</t>
        </is>
      </c>
      <c r="I30" s="32" t="inlineStr">
        <is>
          <t>Висок</t>
        </is>
      </c>
      <c r="J30" s="30" t="inlineStr">
        <is>
          <t>Потвърдено</t>
        </is>
      </c>
      <c r="K30" s="30" t="inlineStr">
        <is>
          <t>[20] Instructional Agents, arXiv:2508.19611</t>
        </is>
      </c>
      <c r="L30" s="48" t="inlineStr">
        <is>
          <t>https://arxiv.org/abs/2508.19611</t>
        </is>
      </c>
      <c r="M30" s="49" t="inlineStr">
        <is>
          <t>„four modes: Autonomous, Catalog-Guided, Feedback-Guided, and Full Co-Pilot mode, enabling flexible control over the degree of human involvement“; „automate end-to-end course material generation, including syllabi creation, LaTeX-based slides, lecture scripts, and assessments“.</t>
        </is>
      </c>
      <c r="N30" s="30" t="inlineStr">
        <is>
          <t>НАНЕСЕНО В НИП 28.08: четирите режима са назовани поименно — автономен, направляван по каталог, направляван чрез обратна връзка и пълно съвместно управление.</t>
        </is>
      </c>
      <c r="O30" s="30" t="inlineStr">
        <is>
          <t>Claude (авт.)</t>
        </is>
      </c>
      <c r="P30" s="30" t="inlineStr">
        <is>
          <t>28.08.2026</t>
        </is>
      </c>
    </row>
    <row r="31" ht="78" customHeight="1" s="22">
      <c r="A31" s="28" t="n">
        <v>30</v>
      </c>
      <c r="B31" s="28" t="inlineStr">
        <is>
          <t>1.4</t>
        </is>
      </c>
      <c r="C31" s="28" t="inlineStr">
        <is>
          <t>[8]</t>
        </is>
      </c>
      <c r="D31" s="49" t="inlineStr">
        <is>
          <t>[8]</t>
        </is>
      </c>
      <c r="E31" s="29" t="n"/>
      <c r="F31" s="29" t="inlineStr">
        <is>
          <t>Прегледът на около 130 източника за приложението на изкуствения интелект в обучението по програмиране показва, че генеративните инструменти вече се използват от преподаватели за съставяне на планове на занятия, генериране на задачи и на въпроси с множествен избор, като студентите не разпознават машинния произход на задачите и ги възприемат като подходящи по трудност [8].</t>
        </is>
      </c>
      <c r="G31" s="29" t="inlineStr">
        <is>
          <t>Число + емпирика</t>
        </is>
      </c>
      <c r="H31" s="29" t="inlineStr">
        <is>
          <t>„около 130 източника“ и твърдението, че студентите не разпознават машинния произход — дали е измерено в източника или е препратка.</t>
        </is>
      </c>
      <c r="I31" s="33" t="inlineStr">
        <is>
          <t>Критичен</t>
        </is>
      </c>
      <c r="J31" s="30" t="inlineStr">
        <is>
          <t>Потвърдено</t>
        </is>
      </c>
      <c r="K31" s="30" t="inlineStr">
        <is>
          <t>2026_p-3.pdf, печ. стр. 25 и 26</t>
        </is>
      </c>
      <c r="L31" s="48" t="inlineStr">
        <is>
          <t>https://www.conf-dte.bg/docs/2026/p-3.pdf</t>
        </is>
      </c>
      <c r="M31" s="49" t="inlineStr">
        <is>
          <t>насочено към обучение по Програмиране за начинаещи, повечето от разгледаните подходи могат да се използват без ограничение в обучението и по други дисциплини. Разгледани са около 130 литературни източника от целия свят. Фиг. 1 показва разпределението по страни. Използвано е и е разширено съществуващо литературни проучване на Manorat, et al. [1], като са анализирани още 15 нови</t>
        </is>
      </c>
      <c r="N31" s="30" t="inlineStr">
        <is>
          <t>„Разгледани са около 130 литературни източника от целия свят“ (стр. 25) и „Студентите не разбират, че са генерирани от ИИ и смятат, че са подходящи по трудност“ (стр. 26). И двете са вторични — Василев препраща към свои източници [1] и [4]. Обмисли „по данни, обобщени в [8]“. || НАНЕСЕНО В НИП 28.08: „показва, че“ стана „обобщава публикувани данни, според които“.</t>
        </is>
      </c>
      <c r="O31" s="30" t="inlineStr">
        <is>
          <t>Claude (авт.)</t>
        </is>
      </c>
      <c r="P31" s="30" t="inlineStr">
        <is>
          <t>28.08.2026</t>
        </is>
      </c>
    </row>
    <row r="32" ht="78" customHeight="1" s="22">
      <c r="A32" s="58" t="n">
        <v>31</v>
      </c>
      <c r="B32" s="58" t="inlineStr">
        <is>
          <t>1.4</t>
        </is>
      </c>
      <c r="C32" s="58" t="inlineStr">
        <is>
          <t>[6]</t>
        </is>
      </c>
      <c r="D32" s="57" t="inlineStr">
        <is>
          <t>[6]</t>
        </is>
      </c>
      <c r="E32" s="59" t="n"/>
      <c r="F32" s="59" t="inlineStr">
        <is>
          <t>Публикуваните описания на инструментални работни процеси в български висши училища съобщават за съкращаване на времето за подготовка на стандартни учебни материали със 75–90 на сто [6], което дава количествено измерение на стимула за масово навлизане на тези практики.</t>
        </is>
      </c>
      <c r="G32" s="59" t="inlineStr">
        <is>
          <t>Число</t>
        </is>
      </c>
      <c r="H32" s="59" t="inlineStr">
        <is>
          <t>Диапазонът 75–90 %: как е получен (измерване или оценка), за какви материали. Ако е авторска оценка — текстът да се преформулира и „публикувани описания“ (мн.ч.) да стане ед.ч.</t>
        </is>
      </c>
      <c r="I32" s="61" t="inlineStr">
        <is>
          <t>Критичен</t>
        </is>
      </c>
      <c r="J32" s="58" t="inlineStr">
        <is>
          <t>Потвърдено</t>
        </is>
      </c>
      <c r="K32" s="58" t="inlineStr">
        <is>
          <t>2026_p-94.pdf — само англ. резюме, печ. стр. 541</t>
        </is>
      </c>
      <c r="L32" s="60" t="inlineStr">
        <is>
          <t>https://www.conf-dte.bg/docs/2026/p-94.pdf</t>
        </is>
      </c>
      <c r="M32" s="57" t="inlineStr">
        <is>
          <t>Числото е само в англ. резюме: „Case studies demonstrate 75-90% time reduction in preparing standard teaching materials.“ В българския текст няма такова число и няма представени измервания.</t>
        </is>
      </c>
      <c r="N32" s="58" t="inlineStr">
        <is>
          <t>Диапазонът 75–90 % присъства ЕДИНСТВЕНО в англоезичното резюме („Case studies demonstrate 75–90% time reduction“). В българския текст няма такова число, няма и представени измервания; списъкът с литература е от 6 заглавия, предимно вендорска документация (OpenAI, Perplexity, Gemini). ДЕЙСТВИЕ: премахни числото или го преформулирай като заявена от автора оценка; „публикувани описания“ (мн.ч.) е невярно при един източник. || НАНЕСЕНО В НИП 28.08: числото 75–90 на сто е премахнато; множественото число е сведено до един източник. || ЗАТВОРЕН с уговорка. Числото 75–90 на сто е премахнато. Текстът вече отчита само че докладът посочва значително съкращаване — което той наистина твърди в резюмето си. Че твърдението не е подкрепено с данни в самия доклад, остава записано тук.</t>
        </is>
      </c>
      <c r="O32" s="58" t="inlineStr">
        <is>
          <t>Claude (авт.)</t>
        </is>
      </c>
      <c r="P32" s="58" t="inlineStr">
        <is>
          <t>29.08.2026</t>
        </is>
      </c>
    </row>
    <row r="33" ht="78" customHeight="1" s="22">
      <c r="A33" s="28" t="n">
        <v>32</v>
      </c>
      <c r="B33" s="28" t="inlineStr">
        <is>
          <t>1.4</t>
        </is>
      </c>
      <c r="C33" s="28" t="inlineStr">
        <is>
          <t>[2]</t>
        </is>
      </c>
      <c r="D33" s="49" t="inlineStr">
        <is>
          <t>[2]</t>
        </is>
      </c>
      <c r="E33" s="29" t="n"/>
      <c r="F33" s="29" t="inlineStr">
        <is>
          <t>Разработена в морско висше училище система обработва над 656 000 знака учебен текст на български и английски език и генерира 553 въпроса с множествен избор, като работният процес в осем стъпки задължително включва одобрение от преподавателя преди записване на всеки въпрос [2].</t>
        </is>
      </c>
      <c r="G33" s="29" t="inlineStr">
        <is>
          <t>Числа</t>
        </is>
      </c>
      <c r="H33" s="29" t="inlineStr">
        <is>
          <t>656 000 знака, 553 въпроса, осем стъпки, задължително одобрение — четири отделни факта.</t>
        </is>
      </c>
      <c r="I33" s="33" t="inlineStr">
        <is>
          <t>Критичен</t>
        </is>
      </c>
      <c r="J33" s="30" t="inlineStr">
        <is>
          <t>Потвърдено</t>
        </is>
      </c>
      <c r="K33" s="30" t="inlineStr">
        <is>
          <t>2026_p-100.pdf, печ. стр. 578 и 580</t>
        </is>
      </c>
      <c r="L33" s="48" t="inlineStr">
        <is>
          <t>https://www.conf-dte.bg/docs/2026/p-100.pdf</t>
        </is>
      </c>
      <c r="M33" s="49" t="inlineStr">
        <is>
          <t>Целта на експеримента е да се установи до каква степен системата генерира въпроси, приложими за директна употреба, и какъв обем редакция се налага. Общият обем на обработения текст е приблизително 656 000 знака (без интервали) на два езика. Обобщените резултати са представени в Табл. 1.</t>
        </is>
      </c>
      <c r="N33" s="30" t="inlineStr">
        <is>
          <t>656 813 знака (НИП: „над 656 000“ — коректно), 553 въпроса, осемстъпков работен процес с одобрение от преподавателя. Точно.</t>
        </is>
      </c>
      <c r="O33" s="30" t="inlineStr">
        <is>
          <t>Claude (авт.)</t>
        </is>
      </c>
      <c r="P33" s="30" t="inlineStr">
        <is>
          <t>28.08.2026</t>
        </is>
      </c>
    </row>
    <row r="34" ht="78" customHeight="1" s="22">
      <c r="A34" s="28" t="n">
        <v>33</v>
      </c>
      <c r="B34" s="28" t="inlineStr">
        <is>
          <t>1.4</t>
        </is>
      </c>
      <c r="C34" s="28" t="inlineStr">
        <is>
          <t>[6]</t>
        </is>
      </c>
      <c r="D34" s="49" t="inlineStr">
        <is>
          <t>[6]</t>
        </is>
      </c>
      <c r="E34" s="29" t="n"/>
      <c r="F34" s="29" t="inlineStr">
        <is>
          <t>Практическите ръководства за преподаватели извеждат повтарящ се набор от правила — определяне на роля, предоставяне на контекст за аудиторията и предварителните ѝ знания, конкретност на задачата, работа на стъпки и съчетаване на генерирания резултат със собствена експертиза [6].</t>
        </is>
      </c>
      <c r="G34" s="29" t="inlineStr">
        <is>
          <t>Списък правила</t>
        </is>
      </c>
      <c r="H34" s="29" t="inlineStr">
        <is>
          <t>Дали петте правила за заявки са изброени така в [6].</t>
        </is>
      </c>
      <c r="I34" s="28" t="inlineStr">
        <is>
          <t>Среден</t>
        </is>
      </c>
      <c r="J34" s="30" t="inlineStr">
        <is>
          <t>Потвърдено</t>
        </is>
      </c>
      <c r="K34" s="30" t="inlineStr">
        <is>
          <t>2026_p-94.pdf, печ. стр. 543</t>
        </is>
      </c>
      <c r="L34" s="48" t="inlineStr">
        <is>
          <t>https://www.conf-dte.bg/docs/2026/p-94.pdf</t>
        </is>
      </c>
      <c r="M34" s="49" t="inlineStr">
        <is>
          <t>умението да се конструират ефективни инструкции, които водят до точни, релевантни и полезни отговори. Пет златни правила: 1. Дефинирай роля - "Ти си опитен преподавател по..." настройва AI да отговаря с подходящ експертен тон</t>
        </is>
      </c>
      <c r="N34" s="30" t="inlineStr">
        <is>
          <t>Източникът дава „Пет златни правила“: дефинирай роля, предостави контекст (ниво и предварителни знания), бъди специфичен, работи стъпка по стъпка, комбинирай с лична експертиза. Съвпада точно. НО както при ред 31: „Практическите ръководства“ (мн.ч.) стъпват на един източник — сложи ед.ч. или добави втори източник. || НАНЕСЕНО В НИП 28.08: „Практическите ръководства… извеждат“ стана „Практическо ръководство… извежда“.</t>
        </is>
      </c>
      <c r="O34" s="30" t="inlineStr">
        <is>
          <t>Claude (авт.)</t>
        </is>
      </c>
      <c r="P34" s="30" t="inlineStr">
        <is>
          <t>28.08.2026</t>
        </is>
      </c>
    </row>
    <row r="35" ht="170" customHeight="1" s="22">
      <c r="A35" s="71" t="n">
        <v>34</v>
      </c>
      <c r="B35" s="71" t="inlineStr">
        <is>
          <t>1.5</t>
        </is>
      </c>
      <c r="C35" s="71" t="inlineStr">
        <is>
          <t>[19]</t>
        </is>
      </c>
      <c r="D35" s="49" t="inlineStr">
        <is>
          <t>[20]</t>
        </is>
      </c>
      <c r="E35" s="71" t="n"/>
      <c r="F35" s="71" t="inlineStr">
        <is>
          <t>Полезна систематизираща рамка предлага анализът на силните и слабите страни, възможностите и заплахите (SWOT) на генеративния изкуствен интелект в инструкционния дизайн [19], който подрежда разпръснатите в литературата наблюдения в четири взаимно свързани полета.</t>
        </is>
      </c>
      <c r="G35" s="71" t="inlineStr">
        <is>
          <t>Рамка</t>
        </is>
      </c>
      <c r="H35" s="71" t="inlineStr">
        <is>
          <t>Дали [19] е SWOT анализ в областта на инструкционния дизайн.</t>
        </is>
      </c>
      <c r="I35" s="71" t="inlineStr">
        <is>
          <t>Нисък</t>
        </is>
      </c>
      <c r="J35" s="72" t="inlineStr">
        <is>
          <t>Потвърдено</t>
        </is>
      </c>
      <c r="K35" s="72" t="inlineStr">
        <is>
          <t>TechTrends 68(4) — резюме и резултати</t>
        </is>
      </c>
      <c r="L35" s="73" t="inlineStr">
        <is>
          <t>https://link.springer.com/article/10.1007/s11528-024-00967-w</t>
        </is>
      </c>
      <c r="M35" s="49" t="inlineStr">
        <is>
          <t>„Four researchers used a set of prompts to generate a course map for an online course that is aimed to teach the topic of makerspace and conducted SWOT analysis to identify strengths, weaknesses, opportunities, and threats of using generative AI for instructional design.“ | Слаби страни: липса на контекстуално разбиране за ограниченията на онлайн обучението, измислени несъществуващи източници, неясни указания без достатъчно скеле, повтарящи се дискусионни задачи, повърхностни тестови въпроси към фактическо припомняне вместо към мислене от по-висок ред. | Заплахи: непостоянен контрол на качеството, ненадеждни резултати и непроверима информация.</t>
        </is>
      </c>
      <c r="N35" s="72" t="inlineStr">
        <is>
          <t>Рамката се потвърждава. || 31.08.2026: предишната „извадка“ беше преразказ в едно изречение. Заменена с дословния текст от резюмето и съдържанието на четирите полета.</t>
        </is>
      </c>
      <c r="O35" s="72" t="inlineStr">
        <is>
          <t>Claude (авт.)</t>
        </is>
      </c>
      <c r="P35" s="72" t="inlineStr">
        <is>
          <t>31.08.2026</t>
        </is>
      </c>
    </row>
    <row r="36" ht="78" customHeight="1" s="22">
      <c r="A36" s="28" t="n">
        <v>35</v>
      </c>
      <c r="B36" s="28" t="inlineStr">
        <is>
          <t>1.5</t>
        </is>
      </c>
      <c r="C36" s="28" t="inlineStr">
        <is>
          <t>[28]</t>
        </is>
      </c>
      <c r="D36" s="49" t="inlineStr">
        <is>
          <t>[31]</t>
        </is>
      </c>
      <c r="E36" s="29" t="n"/>
      <c r="F36" s="29" t="inlineStr">
        <is>
          <t>Систематичният преглед на изследванията за периода 2007–2018 г. документира богата предистория — профилиране и прогнозиране на успеваемостта, интелигентни туторни системи, адаптивно оценяване — но и системен дефицит: слаба обвързаност на разработките с педагогическата теория и ограничено участие на педагози в създаването им [28].</t>
        </is>
      </c>
      <c r="G36" s="29" t="inlineStr">
        <is>
          <t>Период + извод</t>
        </is>
      </c>
      <c r="H36" s="29" t="inlineStr">
        <is>
          <t>Периодът 2007–2018 г. и изводът за слаба обвързаност с педагогическата теория и ограничено участие на педагози.</t>
        </is>
      </c>
      <c r="I36" s="32" t="inlineStr">
        <is>
          <t>Висок</t>
        </is>
      </c>
      <c r="J36" s="30" t="inlineStr">
        <is>
          <t>Потвърдено</t>
        </is>
      </c>
      <c r="K36" s="30" t="inlineStr">
        <is>
          <t>IJETHE, т. 16, чл. 39, 2019 — методология</t>
        </is>
      </c>
      <c r="L36" s="48" t="inlineStr">
        <is>
          <t>https://link.springer.com/article/10.1186/s41239-019-0171-0</t>
        </is>
      </c>
      <c r="M36" s="49" t="inlineStr">
        <is>
          <t>„it was decided to limit articles to those published during or after 2007“; 2656 намерени записа, 146 включени в анализа; периодът е 2007–2018 г.</t>
        </is>
      </c>
      <c r="N36" s="30" t="inlineStr">
        <is>
          <t>Периодът 2007–2018 е потвърден (2656 намерени, 146 включени). Изводът за слабото участие на педагози е в заглавието и абстракта.</t>
        </is>
      </c>
      <c r="O36" s="30" t="inlineStr">
        <is>
          <t>Claude (авт.)</t>
        </is>
      </c>
      <c r="P36" s="30" t="inlineStr">
        <is>
          <t>28.08.2026</t>
        </is>
      </c>
    </row>
    <row r="37" ht="78" customHeight="1" s="22">
      <c r="A37" s="58" t="n">
        <v>36</v>
      </c>
      <c r="B37" s="58" t="inlineStr">
        <is>
          <t>1.5</t>
        </is>
      </c>
      <c r="C37" s="58" t="inlineStr">
        <is>
          <t>[19]</t>
        </is>
      </c>
      <c r="D37" s="57" t="inlineStr">
        <is>
          <t>[20]</t>
        </is>
      </c>
      <c r="E37" s="59" t="n"/>
      <c r="F37" s="59" t="inlineStr">
        <is>
          <t>Генеративните инструменти съкращават многократно времето за подготовка на учебни материали, подпомагат преодоляването на творчески блокаж чрез бързо генериране на варианти и идеи и правят възможно създаването на разнообразни версии на един и същ материал — за различни равнища на подготовка, стилове на представяне и формати [19].</t>
        </is>
      </c>
      <c r="G37" s="59" t="inlineStr">
        <is>
          <t>Списък предимства</t>
        </is>
      </c>
      <c r="H37" s="59" t="inlineStr">
        <is>
          <t>Трите предимства — съкращаване на времето, преодоляване на блокаж, варианти на един материал.</t>
        </is>
      </c>
      <c r="I37" s="58" t="inlineStr">
        <is>
          <t>Среден</t>
        </is>
      </c>
      <c r="J37" s="58" t="inlineStr">
        <is>
          <t>Потвърдено</t>
        </is>
      </c>
      <c r="K37" s="58" t="inlineStr">
        <is>
          <t>[19] TechTrends 68(4)</t>
        </is>
      </c>
      <c r="L37" s="60" t="inlineStr">
        <is>
          <t>https://link.springer.com/content/pdf/10.1007/s11528-024-00967-w.pdf</t>
        </is>
      </c>
      <c r="M37" s="57" t="inlineStr">
        <is>
          <t>„ChatGPT provided opportunities to decrease instructors' workload“; „diversity of instructional activities and assignments“. Твърдение за „творчески блокаж“ ЛИПСВА.</t>
        </is>
      </c>
      <c r="N37" s="58" t="inlineStr">
        <is>
          <t>НАНЕСЕНО В НИП 28.08: „преодоляване на творчески блокаж“ отпадна; изречението вече твърди само намаляване на натоварването и разнообразяване на дейностите и задачите. || ЗАТВОРЕН. „Творчески блокаж“ отпадна. Остана намаляването на натоварването и разнообразяването на дейностите — и двете дословни.</t>
        </is>
      </c>
      <c r="O37" s="58" t="inlineStr">
        <is>
          <t>Claude (авт.)</t>
        </is>
      </c>
      <c r="P37" s="58" t="inlineStr">
        <is>
          <t>29.08.2026</t>
        </is>
      </c>
    </row>
    <row r="38" ht="78" customHeight="1" s="22">
      <c r="A38" s="28" t="n">
        <v>37</v>
      </c>
      <c r="B38" s="28" t="inlineStr">
        <is>
          <t>1.5</t>
        </is>
      </c>
      <c r="C38" s="28" t="inlineStr">
        <is>
          <t>[35]</t>
        </is>
      </c>
      <c r="D38" s="49" t="inlineStr">
        <is>
          <t>заменен</t>
        </is>
      </c>
      <c r="E38" s="29" t="n"/>
      <c r="F38" s="29" t="inlineStr">
        <is>
          <t>Систематичните прегледи добавят към това потенциала за персонализация на учебното съдържание и за подкрепа на обучаемите при самоподготовка в мащаб, непостижим за отделния преподавател [35].</t>
        </is>
      </c>
      <c r="G38" s="29" t="inlineStr">
        <is>
          <t>Обобщение</t>
        </is>
      </c>
      <c r="H38" s="29" t="inlineStr">
        <is>
          <t>Персонализация и подкрепа при самоподготовка „в мащаб“.</t>
        </is>
      </c>
      <c r="I38" s="28" t="inlineStr">
        <is>
          <t>Среден</t>
        </is>
      </c>
      <c r="J38" s="30" t="inlineStr">
        <is>
          <t>Потвърдено</t>
        </is>
      </c>
      <c r="K38" s="30" t="inlineStr">
        <is>
          <t>Bahroun, Anane, Ahmed и Zacca 2023, Sustainability 15(17), 12983</t>
        </is>
      </c>
      <c r="L38" s="48" t="inlineStr">
        <is>
          <t>https://www.mdpi.com/2071-1050/15/17/12983</t>
        </is>
      </c>
      <c r="M38"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38" s="30" t="inlineStr">
        <is>
          <t>ЗАМЕНЕН ИЗТОЧНИК. Отпадна „в мащаб, непостижим за отделния преподавател“ — това не е твърдение на източника.</t>
        </is>
      </c>
      <c r="O38" s="30" t="inlineStr">
        <is>
          <t>Claude (авт.)</t>
        </is>
      </c>
      <c r="P38" s="30" t="inlineStr">
        <is>
          <t>29.08.2026</t>
        </is>
      </c>
    </row>
    <row r="39" ht="78" customHeight="1" s="22">
      <c r="A39" s="58" t="n">
        <v>38</v>
      </c>
      <c r="B39" s="58" t="inlineStr">
        <is>
          <t>1.5</t>
        </is>
      </c>
      <c r="C39" s="58" t="inlineStr">
        <is>
          <t>[19]</t>
        </is>
      </c>
      <c r="D39" s="57" t="inlineStr">
        <is>
          <t>[20]</t>
        </is>
      </c>
      <c r="E39" s="59" t="n"/>
      <c r="F39" s="59" t="inlineStr">
        <is>
          <t>Генерираните материали може да съдържат фактически грешки и измислени източници, поднесени убедително; качеството е неравномерно и трудно предвидимо между отделни заявки; при по-сложни теми изложението клони към повърхностност и общи формулировки; а произведеният текст често е педагогически плосък — коректен на пръв поглед, но без осъзната дидактическа логика [19].</t>
        </is>
      </c>
      <c r="G39" s="59" t="inlineStr">
        <is>
          <t>Списък ограничения</t>
        </is>
      </c>
      <c r="H39" s="59" t="inlineStr">
        <is>
          <t>Фактически грешки и измислени източници, неравномерно качество, повърхностност, педагогическа плоскост.</t>
        </is>
      </c>
      <c r="I39" s="58" t="inlineStr">
        <is>
          <t>Среден</t>
        </is>
      </c>
      <c r="J39" s="58" t="inlineStr">
        <is>
          <t>Потвърдено</t>
        </is>
      </c>
      <c r="K39" s="58" t="inlineStr">
        <is>
          <t>[19] TechTrends 68(4)</t>
        </is>
      </c>
      <c r="L39" s="60" t="inlineStr">
        <is>
          <t>https://link.springer.com/content/pdf/10.1007/s11528-024-00967-w.pdf</t>
        </is>
      </c>
      <c r="M39" s="57" t="inlineStr">
        <is>
          <t>„ChatGPT would fabricate a list of reading materials and references that did not exist“; „Lack of Depth in Quiz and Assessments“; „If ChatGPT does not provide consistent outputs, there could be quality control issues“.</t>
        </is>
      </c>
      <c r="N39" s="58" t="inlineStr">
        <is>
          <t>Измислените източници, неравномерното качество и повърхностността се потвърждават. „Педагогически плосък — коректен на пръв поглед, но без осъзната дидактическа логика“ е твоя характеристика, не на източника. Оставено, но е кандидат за Ниво 3. || ЗАТВОРЕН. „Педагогически плосък — без осъзната дидактическа логика“ отпадна като авторска характеристика. Остана „Lack of Depth in Quiz and Assessments“, което източникът твърди.</t>
        </is>
      </c>
      <c r="O39" s="58" t="inlineStr">
        <is>
          <t>Claude (авт.)</t>
        </is>
      </c>
      <c r="P39" s="58" t="inlineStr">
        <is>
          <t>29.08.2026</t>
        </is>
      </c>
    </row>
    <row r="40" ht="78" customHeight="1" s="22">
      <c r="A40" s="58" t="n">
        <v>39</v>
      </c>
      <c r="B40" s="58" t="inlineStr">
        <is>
          <t>1.5</t>
        </is>
      </c>
      <c r="C40" s="58" t="inlineStr">
        <is>
          <t>[16]</t>
        </is>
      </c>
      <c r="D40" s="57" t="inlineStr">
        <is>
          <t>[17]</t>
        </is>
      </c>
      <c r="E40" s="59" t="n"/>
      <c r="F40" s="59" t="inlineStr">
        <is>
          <t>На първо място е академичната коректност: неотчетеното използване на генерирано съдържание размива границата между собствен и чужд труд — както при обучаемите, така и при преподавателите и авторите на учебни ресурси [16].</t>
        </is>
      </c>
      <c r="G40" s="59" t="inlineStr">
        <is>
          <t>Извод</t>
        </is>
      </c>
      <c r="H40" s="59" t="inlineStr">
        <is>
          <t>Дали [16] формулира размиването на границата между собствен и чужд труд и за преподаватели/автори, не само за обучаеми.</t>
        </is>
      </c>
      <c r="I40" s="58" t="inlineStr">
        <is>
          <t>Среден</t>
        </is>
      </c>
      <c r="J40" s="58" t="inlineStr">
        <is>
          <t>Потвърдено</t>
        </is>
      </c>
      <c r="K40" s="58" t="inlineStr">
        <is>
          <t>[16] — пълен текст</t>
        </is>
      </c>
      <c r="L40" s="60" t="inlineStr">
        <is>
          <t>https://opus.bibliothek.uni-augsburg.de/opus4/files/109030/109030.pdf</t>
        </is>
      </c>
      <c r="M40" s="57" t="inlineStr">
        <is>
          <t>„It is becoming increasingly difficult to distinguish whether a text is machine- or human-generated.“ / „the answer may contain a full sentence or even a paragraph seen in the training set, leading to copyright and plagiarism issues.“</t>
        </is>
      </c>
      <c r="N40" s="58" t="inlineStr">
        <is>
          <t>Източникът поддържа, че става все по-трудно да се различи машинно от човешко авторство, и говори за плагиатство. Разширяването към преподавателите и авторите на учебни ресурси е твое. НАНЕСЕНО В НИП 28.08: изречението вече цитира [16] за наблюдението, а разширението е обособено като извод. || ЗАТВОРЕН. Изречението разделя наблюдението на [17] от разширението към преподавателите и авторите.</t>
        </is>
      </c>
      <c r="O40" s="58" t="inlineStr">
        <is>
          <t>Claude (авт.)</t>
        </is>
      </c>
      <c r="P40" s="58" t="inlineStr">
        <is>
          <t>29.08.2026</t>
        </is>
      </c>
    </row>
    <row r="41" ht="78" customHeight="1" s="22">
      <c r="A41" s="58" t="n">
        <v>40</v>
      </c>
      <c r="B41" s="58" t="inlineStr">
        <is>
          <t>1.5</t>
        </is>
      </c>
      <c r="C41" s="58" t="inlineStr">
        <is>
          <t>[19]</t>
        </is>
      </c>
      <c r="D41" s="57" t="inlineStr">
        <is>
          <t>[20]</t>
        </is>
      </c>
      <c r="E41" s="59" t="n"/>
      <c r="F41" s="59" t="inlineStr">
        <is>
          <t>Следват рискът от прекомерна зависимост — пренасяне на съществени интелектуални операции върху инструмента, при което се атрофират точно уменията, които обучението трябва да изгради; рисковете за личните данни при работа с комерсиални платформи; и рискът от неравен достъп, при който качеството на учебните материали започва да зависи от достъпа до платени инструменти [19].</t>
        </is>
      </c>
      <c r="G41" s="59" t="inlineStr">
        <is>
          <t>Списък рискове</t>
        </is>
      </c>
      <c r="H41" s="59" t="inlineStr">
        <is>
          <t>Свръхзависимост, лични данни, неравен достъп — трите поотделно.</t>
        </is>
      </c>
      <c r="I41" s="58" t="inlineStr">
        <is>
          <t>Среден</t>
        </is>
      </c>
      <c r="J41" s="58" t="inlineStr">
        <is>
          <t>Потвърдено</t>
        </is>
      </c>
      <c r="K41" s="58" t="inlineStr">
        <is>
          <t>[19] TechTrends 68(4), раздел Threats</t>
        </is>
      </c>
      <c r="L41" s="60" t="inlineStr">
        <is>
          <t>https://link.springer.com/content/pdf/10.1007/s11528-024-00967-w.pdf</t>
        </is>
      </c>
      <c r="M41" s="57" t="inlineStr">
        <is>
          <t>Проверен е разделът Threats. Прекомерната зависимост е само загатната: „is it forfeiting a valuable opportunity for instructors to engage in learning to better teach and instruct?“. За ЛИЧНИ ДАННИ и НЕРАВЕН ДОСТЪП няма нищо — темите отсъстват от анализа.</t>
        </is>
      </c>
      <c r="N41" s="58" t="inlineStr">
        <is>
          <t>НАЙ-СЕРИОЗНАТА НАХОДКА В ТАЗИ ПАРТИДА. Три риска бяха приписани на [19]; източникът поддържа само единия, и то слабо. НАНЕСЕНО В НИП 28.08: зависимостта е формулирана като въпроса, който авторите наистина поставят; личните данни са пренасочени към [16]; неравният достъп остана без цитат и влиза в Ниво 3 като твой извод. || ЗАТВОРЕН. Неравният достъп получи източник: [17] — „Without fair access, this AI technology may seriously widen the education gap like no other technology before it.“ Личните данни са при [17], зависимостта — при [20].</t>
        </is>
      </c>
      <c r="O41" s="58" t="inlineStr">
        <is>
          <t>Claude (авт.)</t>
        </is>
      </c>
      <c r="P41" s="58" t="inlineStr">
        <is>
          <t>29.08.2026</t>
        </is>
      </c>
    </row>
    <row r="42" ht="78" customHeight="1" s="22">
      <c r="A42" s="28" t="n">
        <v>41</v>
      </c>
      <c r="B42" s="28" t="inlineStr">
        <is>
          <t>1.5</t>
        </is>
      </c>
      <c r="C42" s="28" t="inlineStr">
        <is>
          <t>[5]</t>
        </is>
      </c>
      <c r="D42" s="49" t="inlineStr">
        <is>
          <t>[5]</t>
        </is>
      </c>
      <c r="E42" s="29" t="n"/>
      <c r="F42" s="29" t="inlineStr">
        <is>
          <t>Проучване сред 68 педагогически специалисти от всички образователни степени установява преобладаващо положително отношение към образователните приложения на изкуствения интелект по трите оценъчни оси, но качественият анализ на реалните работни процеси показва, че реалната употреба изостава: преобладава инструментална логика на внедряване, а само отделни случаи достигат до трансформативна интеграция с педагогическа преработка на генерирания резултат [5].</t>
        </is>
      </c>
      <c r="G42" s="29" t="inlineStr">
        <is>
          <t>Число + методика</t>
        </is>
      </c>
      <c r="H42" s="29" t="inlineStr">
        <is>
          <t>Извадка от 68 педагогически специалисти, „три оценъчни оси“, разграничението инструментална/трансформативна интеграция.</t>
        </is>
      </c>
      <c r="I42" s="33" t="inlineStr">
        <is>
          <t>Критичен</t>
        </is>
      </c>
      <c r="J42" s="30" t="inlineStr">
        <is>
          <t>Потвърдено</t>
        </is>
      </c>
      <c r="K42" s="30" t="inlineStr">
        <is>
          <t>[5] Левунлиева — без промяна на източника</t>
        </is>
      </c>
      <c r="L42" s="48" t="inlineStr">
        <is>
          <t>https://www.conf-dte.bg/docs/2026/p-106.pdf</t>
        </is>
      </c>
      <c r="M42" s="49" t="inlineStr">
        <is>
          <t>„68 респонденти… оцениха по три бинарни скали: добро – лошо…“; високи оценки 40/68 (58,82 %), 43/68 (63,24 %), 42/68 (61,76 %); неутрални по първата скала 39,71 %.</t>
        </is>
      </c>
      <c r="N42" s="30" t="inlineStr">
        <is>
          <t>НАНЕСЕНО В НИП 29.08: премахната е препратката към модела в следващите глави. Изречението вече описва само средата, която данните показват.</t>
        </is>
      </c>
      <c r="O42" s="30" t="inlineStr">
        <is>
          <t>Claude (авт.)</t>
        </is>
      </c>
      <c r="P42" s="30" t="inlineStr">
        <is>
          <t>29.08.2026</t>
        </is>
      </c>
    </row>
    <row r="43" ht="78" customHeight="1" s="22">
      <c r="A43" s="28" t="n">
        <v>42</v>
      </c>
      <c r="B43" s="28" t="inlineStr">
        <is>
          <t>1.5</t>
        </is>
      </c>
      <c r="C43" s="28" t="inlineStr">
        <is>
          <t>[4]</t>
        </is>
      </c>
      <c r="D43" s="49" t="inlineStr">
        <is>
          <t>[4]</t>
        </is>
      </c>
      <c r="E43" s="29" t="n"/>
      <c r="F43" s="29" t="inlineStr">
        <is>
          <t>Към рисковете за обучаемите българските изследвания добавят и опасността от повърхностно усвояване, свързана с практиките на механично пренасяне на генерирания резултат; преодоляването ѝ се търси чрез педагогически подходи, при които инструментът подпомага, но не замества мисловния процес на обучаемия [4].</t>
        </is>
      </c>
      <c r="G43" s="29" t="inlineStr">
        <is>
          <t>Извод</t>
        </is>
      </c>
      <c r="H43" s="29" t="inlineStr">
        <is>
          <t>Опасност от повърхностно усвояване и предложеният педагогически подход.</t>
        </is>
      </c>
      <c r="I43" s="28" t="inlineStr">
        <is>
          <t>Среден</t>
        </is>
      </c>
      <c r="J43" s="30" t="inlineStr">
        <is>
          <t>Потвърдено</t>
        </is>
      </c>
      <c r="K43" s="30" t="inlineStr">
        <is>
          <t>2026_p-124.pdf, печ. стр. 717 и 719</t>
        </is>
      </c>
      <c r="L43" s="48" t="inlineStr">
        <is>
          <t>https://www.conf-dte.bg/docs/2026/p-124.pdf</t>
        </is>
      </c>
      <c r="M43" s="49" t="inlineStr">
        <is>
          <t>• игри и интерактивни истории ГИИ се използва като подкрепящ инструмент за генериране на идеи и сценарии, както и за технологична реализация на визуализацията, но не замества мисловния процес.</t>
        </is>
      </c>
      <c r="N43" s="30" t="inlineStr">
        <is>
          <t>Опасността от повърхностно учене е на стр. 717, но Дамесова я приписва на Levin, Marom и др. — вторично цитиране. Педагогическият подход е на стр. 719: „не замества мисловния процес“. ДЕЙСТВИЕ: или цитирай първоизточника, или напиши „по данни, цитирани в [4]“. || НАНЕСЕНО В НИП 28.08: „българските изследвания добавят“ стана „българските публикации препращат към данни за“.</t>
        </is>
      </c>
      <c r="O43" s="30" t="inlineStr">
        <is>
          <t>Claude (авт.)</t>
        </is>
      </c>
      <c r="P43" s="30" t="inlineStr">
        <is>
          <t>28.08.2026</t>
        </is>
      </c>
    </row>
    <row r="44" ht="78" customHeight="1" s="22">
      <c r="A44" s="28" t="n">
        <v>43</v>
      </c>
      <c r="B44" s="28" t="inlineStr">
        <is>
          <t>1.5</t>
        </is>
      </c>
      <c r="C44" s="28" t="inlineStr">
        <is>
          <t>[33]</t>
        </is>
      </c>
      <c r="D44" s="49" t="inlineStr">
        <is>
          <t>[36]</t>
        </is>
      </c>
      <c r="E44" s="29" t="n"/>
      <c r="F44" s="29" t="inlineStr">
        <is>
          <t>Изследванията върху осигуряването на качеството извеждат именно оттук необходимостта интегрирането на изкуствения интелект да бъде вградено в институционалната рамка [33] — а вграждането предполага наличието на общ инструмент, по който проверката да се извършва и документира еднакво.</t>
        </is>
      </c>
      <c r="G44" s="29" t="inlineStr">
        <is>
          <t>Извод</t>
        </is>
      </c>
      <c r="H44" s="29" t="inlineStr">
        <is>
          <t>Дали [33] извежда необходимостта интегрирането да бъде вградено в институционалната рамка. Втората част след тирето е авторска — да остане извън цитата.</t>
        </is>
      </c>
      <c r="I44" s="32" t="inlineStr">
        <is>
          <t>Висок</t>
        </is>
      </c>
      <c r="J44" s="30" t="inlineStr">
        <is>
          <t>Потвърдено</t>
        </is>
      </c>
      <c r="K44" s="30" t="inlineStr">
        <is>
          <t>[33] Warren и кол., QAE 34(2)</t>
        </is>
      </c>
      <c r="L44" s="48" t="inlineStr">
        <is>
          <t>https://www.emerald.com/qae/article/34/2/205/1302250/Enhancing-quality-assurance-through-strategic</t>
        </is>
      </c>
      <c r="M44" s="49" t="inlineStr">
        <is>
          <t>Статията предлага петстъпков модел за внедряване: оценка на възможностите за подобряване на качеството, анализ на ИИ капацитета и стратегическо планиране, стратегия с отчитане на риска, поетапно внедряване с мониторинг на качеството и непрекъснато усъвършенстване.</t>
        </is>
      </c>
      <c r="N44" s="30" t="inlineStr">
        <is>
          <t>Необходимостта от вграждане в институционалната рамка се потвърждава.</t>
        </is>
      </c>
      <c r="O44" s="30" t="inlineStr">
        <is>
          <t>Claude (авт.)</t>
        </is>
      </c>
      <c r="P44" s="30" t="inlineStr">
        <is>
          <t>28.08.2026</t>
        </is>
      </c>
    </row>
    <row r="45" ht="78" customHeight="1" s="22">
      <c r="A45" s="58" t="n">
        <v>44</v>
      </c>
      <c r="B45" s="58" t="inlineStr">
        <is>
          <t>1.5</t>
        </is>
      </c>
      <c r="C45" s="58" t="inlineStr">
        <is>
          <t>[16]</t>
        </is>
      </c>
      <c r="D45" s="57" t="inlineStr">
        <is>
          <t>[17]</t>
        </is>
      </c>
      <c r="E45" s="59" t="n"/>
      <c r="F45" s="59" t="inlineStr">
        <is>
          <t>Отговорът на литературата не е отказ от инструментите, а отговорно използване: ясни институционални правила, прозрачност и деклариране на употребата, запазване на човешката отговорност за крайния продукт и системна проверка на генерираното съдържание преди то да достигне до обучаемите [16].</t>
        </is>
      </c>
      <c r="G45" s="59" t="inlineStr">
        <is>
          <t>Списък</t>
        </is>
      </c>
      <c r="H45" s="59" t="inlineStr">
        <is>
          <t>Четирите елемента на отговорното използване — институционални правила, прозрачност, човешка отговорност, системна проверка.</t>
        </is>
      </c>
      <c r="I45" s="58" t="inlineStr">
        <is>
          <t>Среден</t>
        </is>
      </c>
      <c r="J45" s="58" t="inlineStr">
        <is>
          <t>Потвърдено</t>
        </is>
      </c>
      <c r="K45" s="58" t="inlineStr">
        <is>
          <t>[16] — без промяна на източника</t>
        </is>
      </c>
      <c r="L45" s="60" t="inlineStr">
        <is>
          <t>https://opus.bibliothek.uni-augsburg.de/opus4/files/109030/109030.pdf</t>
        </is>
      </c>
      <c r="M45" s="57" t="inlineStr">
        <is>
          <t>„Integrity requires transparency mechanisms that enable users to comprehend the model's output, and the data and assumptions used to generate it.“ / „Use of the model in conjunction with human expertise, e.g., teachers or subject matter experts, who review and validate the information provided.“</t>
        </is>
      </c>
      <c r="N45" s="58" t="inlineStr">
        <is>
          <t>НАНЕСЕНО В НИП 29.08: премахнато е изречението „Към тях настоящата работа добавя…“. В НИП не се добавят авторски допълнения към чужд източник — остава само това, което литературата казва. || ЗАТВОРЕН. Изречението приписва на [17] само прозрачността и валидирането от преподавател. Добавките отпаднаха.</t>
        </is>
      </c>
      <c r="O45" s="58" t="inlineStr">
        <is>
          <t>Claude (авт.)</t>
        </is>
      </c>
      <c r="P45" s="58" t="inlineStr">
        <is>
          <t>29.08.2026</t>
        </is>
      </c>
    </row>
    <row r="46" ht="78" customHeight="1" s="22">
      <c r="A46" s="28" t="n">
        <v>45</v>
      </c>
      <c r="B46" s="28" t="inlineStr">
        <is>
          <t>1.5</t>
        </is>
      </c>
      <c r="C46" s="28" t="inlineStr">
        <is>
          <t>[35]</t>
        </is>
      </c>
      <c r="D46" s="49" t="inlineStr">
        <is>
          <t>заменен</t>
        </is>
      </c>
      <c r="E46" s="29" t="n"/>
      <c r="F46" s="29" t="inlineStr">
        <is>
          <t>Систематичните прегледи описват този риск като част от по-широката проблематика на прекомерната зависимост [35], а предложеният в настоящата работа модел го адресира косвено: систематичната проверка на генерирания материал изисква същите професионални операции — съотнасяне с целите, проследяване на логиката, предвиждане на затрудненията — и така запазва част от професионалната стойност на процеса дори когато първоначалният текст е машинен.</t>
        </is>
      </c>
      <c r="G46" s="29" t="inlineStr">
        <is>
          <t>Приписване</t>
        </is>
      </c>
      <c r="H46" s="29" t="inlineStr">
        <is>
          <t>Цитатът покрива само първата част; останалото е авторски аргумент. Провери разположението на скобата.</t>
        </is>
      </c>
      <c r="I46" s="32" t="inlineStr">
        <is>
          <t>Висок</t>
        </is>
      </c>
      <c r="J46" s="30" t="inlineStr">
        <is>
          <t>Потвърдено</t>
        </is>
      </c>
      <c r="K46" s="30" t="inlineStr">
        <is>
          <t>Wu, Wang и Wen 2026, Acta Psychologica 266, 106874 — ЗАМЕСТИТЕЛ на [35]</t>
        </is>
      </c>
      <c r="L46" s="48" t="inlineStr">
        <is>
          <t>https://www.sciencedirect.com/science/article/pii/S000169182600675X</t>
        </is>
      </c>
      <c r="M46" s="49" t="inlineStr">
        <is>
          <t>„acceptance, superficial imitation, and excessive dependence on AI outputs“; „…avoid overreliance“.</t>
        </is>
      </c>
      <c r="N46" s="30" t="inlineStr">
        <is>
          <t>НАНЕСЕНО В НИП 29.08: изречението вече приписва риска на изследване, което наистина го документира. Премахната е и препратката към модела в следващите глави. Временен маркер [XACTA] до преномерирането.</t>
        </is>
      </c>
      <c r="O46" s="30" t="inlineStr">
        <is>
          <t>Claude (авт.)</t>
        </is>
      </c>
      <c r="P46" s="30" t="inlineStr">
        <is>
          <t>29.08.2026</t>
        </is>
      </c>
    </row>
    <row r="47" ht="78" customHeight="1" s="22">
      <c r="A47" s="58" t="n">
        <v>46</v>
      </c>
      <c r="B47" s="58" t="inlineStr">
        <is>
          <t>1.6</t>
        </is>
      </c>
      <c r="C47" s="58" t="inlineStr">
        <is>
          <t>[16]</t>
        </is>
      </c>
      <c r="D47" s="57" t="inlineStr">
        <is>
          <t>[17]</t>
        </is>
      </c>
      <c r="E47" s="59" t="n"/>
      <c r="F47" s="59" t="inlineStr">
        <is>
          <t>Устойчивото положение в образователната практика затова е функционално: отговорността за учебния материал носи изцяло човекът, който го одобрява и предоставя на обучаемите, независимо каква част от текста е генерирана [16].</t>
        </is>
      </c>
      <c r="G47" s="59" t="inlineStr">
        <is>
          <t>Нормативно твърдение</t>
        </is>
      </c>
      <c r="H47" s="59" t="inlineStr">
        <is>
          <t>Дали [16] твърди, че отговорността е изцяло на човека, който одобрява материала, или това е авторски извод.</t>
        </is>
      </c>
      <c r="I47" s="58" t="inlineStr">
        <is>
          <t>Висок</t>
        </is>
      </c>
      <c r="J47" s="58" t="inlineStr">
        <is>
          <t>Потвърдено</t>
        </is>
      </c>
      <c r="K47" s="58" t="inlineStr">
        <is>
          <t>[16] ИЗДАДЕНА версия</t>
        </is>
      </c>
      <c r="L47" s="60" t="inlineStr">
        <is>
          <t>https://www.sciencedirect.com/science/article/pii/S1041608023000195</t>
        </is>
      </c>
      <c r="M47" s="57" t="inlineStr">
        <is>
          <t>„the need for continuous human oversight“; „human oversight in the process is indispensable and critical for the mitigation of bias and beneficial application of large language models in education“. Твърдение кой носи отговорността липсва и в издадената версия.</t>
        </is>
      </c>
      <c r="N47" s="58" t="inlineStr">
        <is>
          <t>Издадената версия потвърждава находката. Пренаписването от 28.08 остава. || ЗАТВОРЕН. Изречението вече цитира изискването за човешки надзор, а отговорността е изведена като следствие, не приписана на източника.</t>
        </is>
      </c>
      <c r="O47" s="58" t="inlineStr">
        <is>
          <t>Claude (авт.)</t>
        </is>
      </c>
      <c r="P47" s="58" t="inlineStr">
        <is>
          <t>29.08.2026</t>
        </is>
      </c>
    </row>
    <row r="48" ht="78" customHeight="1" s="22">
      <c r="A48" s="28" t="n">
        <v>47</v>
      </c>
      <c r="B48" s="28" t="inlineStr">
        <is>
          <t>1.6</t>
        </is>
      </c>
      <c r="C48" s="28" t="inlineStr">
        <is>
          <t>[33]</t>
        </is>
      </c>
      <c r="D48" s="49" t="inlineStr">
        <is>
          <t>[36]</t>
        </is>
      </c>
      <c r="E48" s="29" t="n"/>
      <c r="F48" s="29" t="inlineStr">
        <is>
          <t>На институционално равнище това изискване се операционализира чрез правила и процедури: изследванията върху осигуряването на качеството във висшето образование показват, че интегрирането на изкуствения интелект се управлява устойчиво тогава, когато е вградено в институционалната рамка за качество, а не е оставено на индивидуалната преценка на отделния преподавател [33].</t>
        </is>
      </c>
      <c r="G48" s="29" t="inlineStr">
        <is>
          <t>Извод</t>
        </is>
      </c>
      <c r="H48" s="29" t="inlineStr">
        <is>
          <t>Дали [33] показва именно това — устойчиво управление при вграждане в институционалната рамка.</t>
        </is>
      </c>
      <c r="I48" s="32" t="inlineStr">
        <is>
          <t>Висок</t>
        </is>
      </c>
      <c r="J48" s="30" t="inlineStr">
        <is>
          <t>Потвърдено</t>
        </is>
      </c>
      <c r="K48" s="30" t="inlineStr">
        <is>
          <t>[33] Warren и кол., QAE 34(2)</t>
        </is>
      </c>
      <c r="L48" s="48" t="inlineStr">
        <is>
          <t>https://www.emerald.com/qae/article/34/2/205/1302250/Enhancing-quality-assurance-through-strategic</t>
        </is>
      </c>
      <c r="M48" s="49" t="inlineStr">
        <is>
          <t>„Some institutions purchase advanced technologies without creating adequate implementation plans, staff training programs or evaluation metrics.“ Статията изисква институционална координация и надзор.</t>
        </is>
      </c>
      <c r="N48" s="30" t="inlineStr">
        <is>
          <t>СМЕКЧЕНО В НИП 28.08 по указание: изречението вече твърди само институционална координация — планове за внедряване, обучение на състава и показатели за оценка — което съответства точно на източника. Противопоставянето с индивидуалната преценка на преподавателя отпадна.</t>
        </is>
      </c>
      <c r="O48" s="30" t="inlineStr">
        <is>
          <t>Claude (авт.)</t>
        </is>
      </c>
      <c r="P48" s="30" t="inlineStr">
        <is>
          <t>28.08.2026</t>
        </is>
      </c>
    </row>
    <row r="49" ht="78" customHeight="1" s="22">
      <c r="A49" s="28" t="n">
        <v>48</v>
      </c>
      <c r="B49" s="28" t="inlineStr">
        <is>
          <t>1.6</t>
        </is>
      </c>
      <c r="C49" s="28" t="inlineStr">
        <is>
          <t>[18]</t>
        </is>
      </c>
      <c r="D49" s="49" t="inlineStr">
        <is>
          <t>[19]</t>
        </is>
      </c>
      <c r="E49" s="29" t="n"/>
      <c r="F49" s="29" t="inlineStr">
        <is>
          <t>То формулира човекоцентричен подход и извежда набор от политически мерки, сред които защита на човешката свобода на действие, наблюдение и валидиране на генеративните системи, изграждане на компетентности у обучаемите и преподавателите и насърчаване на приобщаването и езиковото многообразие [18].</t>
        </is>
      </c>
      <c r="G49" s="29" t="inlineStr">
        <is>
          <t>Списък мерки</t>
        </is>
      </c>
      <c r="H49" s="29" t="inlineStr">
        <is>
          <t>Четирите мерки от документа на ЮНЕСКО — човешка свобода на действие, валидиране, компетентности, приобщаване и езиково многообразие.</t>
        </is>
      </c>
      <c r="I49" s="28" t="inlineStr">
        <is>
          <t>Среден</t>
        </is>
      </c>
      <c r="J49" s="30" t="inlineStr">
        <is>
          <t>Потвърдено</t>
        </is>
      </c>
      <c r="K49" s="30" t="inlineStr">
        <is>
          <t>[18] UNESCO Guidance, 2023</t>
        </is>
      </c>
      <c r="L49" s="48" t="inlineStr">
        <is>
          <t>https://table.media/wp-content/uploads/2023/09/386693eng.pdf</t>
        </is>
      </c>
      <c r="M49" s="49" t="inlineStr">
        <is>
          <t>„Reinforce human autonomy over their own approaches to research, teaching, and learning“; „Build validation mechanisms to test whether GenAI systems used in education and research are free of biases“; „Commit to the provision of government-sanctioned AI curricula for school education“; „Develop and implement inclusive specifications for GenAI systems and implement institutional measures to protect linguistic and cultural diversities“.</t>
        </is>
      </c>
      <c r="N49" s="30" t="inlineStr">
        <is>
          <t>И четирите мерки се потвърждават дословно.</t>
        </is>
      </c>
      <c r="O49" s="30" t="inlineStr">
        <is>
          <t>Claude (авт.)</t>
        </is>
      </c>
      <c r="P49" s="30" t="inlineStr">
        <is>
          <t>28.08.2026</t>
        </is>
      </c>
    </row>
    <row r="50" ht="78" customHeight="1" s="22">
      <c r="A50" s="28" t="n">
        <v>49</v>
      </c>
      <c r="B50" s="28" t="inlineStr">
        <is>
          <t>1.6</t>
        </is>
      </c>
      <c r="C50" s="28" t="inlineStr">
        <is>
          <t>[1]</t>
        </is>
      </c>
      <c r="D50" s="49" t="inlineStr">
        <is>
          <t>[1]</t>
        </is>
      </c>
      <c r="E50" s="29" t="n"/>
      <c r="F50" s="29" t="inlineStr">
        <is>
          <t>Предложената за българските висши училища регулаторна рамка за използване на изкуствен интелект в докторантското обучение определя декларацията за употреба като задължителен документ със строго определено съдържание: наименование на използваните инструменти, целта, за която е използван всеки от тях, частите на труда, при чието изготвяне е използван, и изрично потвърждение, че интелектуалното авторство на концепцията, анализа и изводите принадлежи на автора [1].</t>
        </is>
      </c>
      <c r="G50" s="29" t="inlineStr">
        <is>
          <t>Нормативна конкретика</t>
        </is>
      </c>
      <c r="H50" s="29" t="inlineStr">
        <is>
          <t>Четирите задължителни елемента на декларацията за употреба — дословно по [1].</t>
        </is>
      </c>
      <c r="I50" s="33" t="inlineStr">
        <is>
          <t>Критичен</t>
        </is>
      </c>
      <c r="J50" s="30" t="inlineStr">
        <is>
          <t>Потвърдено</t>
        </is>
      </c>
      <c r="K50" s="30" t="inlineStr">
        <is>
          <t>2026_p-2.pdf, печ. стр. 20</t>
        </is>
      </c>
      <c r="L50" s="48" t="inlineStr">
        <is>
          <t>https://www.conf-dte.bg/docs/2026/p-2.pdf</t>
        </is>
      </c>
      <c r="M50" s="49" t="inlineStr">
        <is>
          <t>Докторантът носи пълна отговорност за съдържанието на всеки труд, независимо от степента на асистенция на ИИ и това е смисълът на принцип на неделимото авторство. Декларацията трябва да съдържа наименованието на използваните инструменти, целта, за която е използван всеки от тях, частите на труда, при чието изготвяне е използван ИИ, и изрично потвърждение, че интелектуалното</t>
        </is>
      </c>
      <c r="N50" s="30" t="inlineStr">
        <is>
          <t>Четирите елемента са изброени почти дословно. Единствена разлика: източникът пише „принадлежи на докторанта“, НИП обобщава до „на автора“ — рамката е само за ОНС „доктор“, уточни го. || НАНЕСЕНО В НИП 28.08: „на автора“ стана „на докторанта“.</t>
        </is>
      </c>
      <c r="O50" s="30" t="inlineStr">
        <is>
          <t>Claude (авт.)</t>
        </is>
      </c>
      <c r="P50" s="30" t="inlineStr">
        <is>
          <t>28.08.2026</t>
        </is>
      </c>
    </row>
    <row r="51" ht="78" customHeight="1" s="22">
      <c r="A51" s="28" t="n">
        <v>50</v>
      </c>
      <c r="B51" s="28" t="inlineStr">
        <is>
          <t>1.6</t>
        </is>
      </c>
      <c r="C51" s="28" t="inlineStr">
        <is>
          <t>[31]</t>
        </is>
      </c>
      <c r="D51" s="49" t="inlineStr">
        <is>
          <t>[34]</t>
        </is>
      </c>
      <c r="E51" s="29" t="n"/>
      <c r="F51" s="29" t="inlineStr">
        <is>
          <t>Регламентът на Европейския съюз за изкуствения интелект — първата хоризонтална правна уредба на ИИ — въвежда степенуван по риск подход към системите с изкуствен интелект и изрични задължения за прозрачност, включително по отношение на съдържание, създадено или манипулирано с генеративни системи [31].</t>
        </is>
      </c>
      <c r="G51" s="29" t="inlineStr">
        <is>
          <t>Правен акт</t>
        </is>
      </c>
      <c r="H51" s="29" t="inlineStr">
        <is>
          <t>„първата хоризонтална уредба“, степенуваният по риск подход и задълженията за прозрачност при генерирано съдържание. Добави препратка към конкретния член (чл. 50).</t>
        </is>
      </c>
      <c r="I51" s="32" t="inlineStr">
        <is>
          <t>Висок</t>
        </is>
      </c>
      <c r="J51" s="30" t="inlineStr">
        <is>
          <t>Потвърдено</t>
        </is>
      </c>
      <c r="K51" s="30" t="inlineStr">
        <is>
          <t>Регламент (ЕС) 2024/1689, чл. 50</t>
        </is>
      </c>
      <c r="L51" s="48" t="inlineStr">
        <is>
          <t>https://artificialintelligenceact.eu/article/50/</t>
        </is>
      </c>
      <c r="M51" s="49" t="inlineStr">
        <is>
          <t>Чл. 50: изходът трябва да бъде „marked in a machine-readable format and detectable as artificially generated or manipulated“; разполагащите субекти разкриват, „that the content has been artificially generated or manipulated“.</t>
        </is>
      </c>
      <c r="N51" s="30" t="inlineStr">
        <is>
          <t>НАНЕСЕНО В НИП 28.08: добавена е изрична препратка към чл. 50 и към изискването за машинночетимо маркиране.</t>
        </is>
      </c>
      <c r="O51" s="30" t="inlineStr">
        <is>
          <t>Claude (авт.)</t>
        </is>
      </c>
      <c r="P51" s="30" t="inlineStr">
        <is>
          <t>28.08.2026</t>
        </is>
      </c>
    </row>
    <row r="52" ht="78" customHeight="1" s="22">
      <c r="A52" s="28" t="n">
        <v>51</v>
      </c>
      <c r="B52" s="28" t="inlineStr">
        <is>
          <t>1.6</t>
        </is>
      </c>
      <c r="C52" s="28" t="inlineStr">
        <is>
          <t>[9]</t>
        </is>
      </c>
      <c r="D52" s="49" t="inlineStr">
        <is>
          <t>[9]</t>
        </is>
      </c>
      <c r="E52" s="29" t="n"/>
      <c r="F52" s="29" t="inlineStr">
        <is>
          <t>Анализите на приложението на изкуствения интелект в българската образователна система формулират като първо условие за отговорно внедряване наличието на ясна национална рамка с етични стандарти, механизми за защита на личните данни и критерии за оценка на ефективността, следвана от системно развитие на компетентността на преподавателите — не само техническа, но и етична [9].</t>
        </is>
      </c>
      <c r="G52" s="29" t="inlineStr">
        <is>
          <t>Списък условия</t>
        </is>
      </c>
      <c r="H52" s="29" t="inlineStr">
        <is>
          <t>Национална рамка с етични стандарти, защита на данните, критерии за ефективност; развитие на компетентността.</t>
        </is>
      </c>
      <c r="I52" s="28" t="inlineStr">
        <is>
          <t>Среден</t>
        </is>
      </c>
      <c r="J52" s="30" t="inlineStr">
        <is>
          <t>Потвърдено</t>
        </is>
      </c>
      <c r="K52" s="30" t="inlineStr">
        <is>
          <t>2025_p-84.pdf, печ. стр. 476</t>
        </is>
      </c>
      <c r="L52" s="48" t="inlineStr">
        <is>
          <t>https://www.conf-dte.bg/docs/2025/p-84.pdf</t>
        </is>
      </c>
      <c r="M52" s="49" t="inlineStr">
        <is>
          <t>бъдат очертани няколко важни насоки, които да подпомогнат педагогическата адаптация и интеграцията на ИИ. На първо място, трябва да има ясна национална рамка за използване на ИИ в образованието [21]. Тя трябва да включва етични стандарти, механизми за защита на личните данни и критерии за оценка на ефективността. Такава рамка</t>
        </is>
      </c>
      <c r="N52" s="30" t="inlineStr">
        <is>
          <t>Дословно: „трябва да има ясна национална рамка за използване на ИИ в образованието. Тя трябва да включва етични стандарти, механизми за защита на личните данни и критерии за оценка на ефективността.“ Компетентността е на същата страница. ЗАБЕЛЕЖКА: Дуцова сама препраща към свой източник [21] за това условие — трето поред вторично цитиране в българската група.</t>
        </is>
      </c>
      <c r="O52" s="30" t="inlineStr">
        <is>
          <t>Claude (авт.)</t>
        </is>
      </c>
      <c r="P52" s="30" t="inlineStr">
        <is>
          <t>28.08.2026</t>
        </is>
      </c>
    </row>
    <row r="53" ht="78" customHeight="1" s="22">
      <c r="A53" s="58" t="n">
        <v>52</v>
      </c>
      <c r="B53" s="58" t="inlineStr">
        <is>
          <t>1.6</t>
        </is>
      </c>
      <c r="C53" s="58" t="inlineStr">
        <is>
          <t>[16]</t>
        </is>
      </c>
      <c r="D53" s="57" t="inlineStr">
        <is>
          <t>[17]</t>
        </is>
      </c>
      <c r="E53" s="59" t="n"/>
      <c r="F53" s="59" t="inlineStr">
        <is>
          <t>В европейския контекст това изискване има и правно измерение чрез режима за защита на личните данни, който поставя строги условия за обработването им от трети страни [16].</t>
        </is>
      </c>
      <c r="G53" s="59" t="inlineStr">
        <is>
          <t>Правно твърдение</t>
        </is>
      </c>
      <c r="H53" s="59" t="inlineStr">
        <is>
          <t>Дали [16] съдържа твърдение за режима за защита на личните данни и обработването от трети страни. Ако не — нужен е правен източник.</t>
        </is>
      </c>
      <c r="I53" s="58" t="inlineStr">
        <is>
          <t>Висок</t>
        </is>
      </c>
      <c r="J53" s="58" t="inlineStr">
        <is>
          <t>Потвърдено</t>
        </is>
      </c>
      <c r="K53" s="58" t="inlineStr">
        <is>
          <t>[16] ИЗДАДЕНА версия, раздел 4.8 „Data privacy and security“</t>
        </is>
      </c>
      <c r="L53" s="60" t="inlineStr">
        <is>
          <t>https://www.sciencedirect.com/science/article/pii/S1041608023000195</t>
        </is>
      </c>
      <c r="M53" s="57" t="inlineStr">
        <is>
          <t>„Development and implementation of robust data privacy and security policies that clearly outline the collection, storage, and use of student data in compliance with regulation (e.g., GDPR, HIPAA, FERPA)“. Изразът „third parties“ не се среща в текста.</t>
        </is>
      </c>
      <c r="N53" s="58" t="inlineStr">
        <is>
          <t>Издадената версия потвърждава находката. Пренаписването от 28.08 остава. || ЗАТВОРЕН. Формулировката съответства на раздел 4.8 на [17]. „Трети страни“ отпадна.</t>
        </is>
      </c>
      <c r="O53" s="58" t="inlineStr">
        <is>
          <t>Claude (авт.)</t>
        </is>
      </c>
      <c r="P53" s="58" t="inlineStr">
        <is>
          <t>29.08.2026</t>
        </is>
      </c>
    </row>
    <row r="54" ht="78" customHeight="1" s="22">
      <c r="A54" s="28" t="n">
        <v>53</v>
      </c>
      <c r="B54" s="28" t="inlineStr">
        <is>
          <t>1.6</t>
        </is>
      </c>
      <c r="C54" s="28" t="inlineStr">
        <is>
          <t>[16]</t>
        </is>
      </c>
      <c r="D54" s="49" t="inlineStr">
        <is>
          <t>[17]</t>
        </is>
      </c>
      <c r="E54" s="29" t="n"/>
      <c r="F54" s="29" t="inlineStr">
        <is>
          <t>И в двата случая принципът е един: добросъвестността не изисква отказ от инструментите, а отчетена, проверена и почтено декларирана употреба [16].</t>
        </is>
      </c>
      <c r="G54" s="29" t="inlineStr">
        <is>
          <t>Обобщение</t>
        </is>
      </c>
      <c r="H54" s="29" t="inlineStr">
        <is>
          <t>Обобщаващо изречение — провери дали не надхвърля източника.</t>
        </is>
      </c>
      <c r="I54" s="28" t="inlineStr">
        <is>
          <t>Нисък</t>
        </is>
      </c>
      <c r="J54" s="30" t="inlineStr">
        <is>
          <t>Потвърдено</t>
        </is>
      </c>
      <c r="K54" s="30" t="inlineStr">
        <is>
          <t>[16] — пълен текст</t>
        </is>
      </c>
      <c r="L54" s="48" t="inlineStr">
        <is>
          <t>https://opus.bibliothek.uni-augsburg.de/opus4/files/109030/109030.pdf</t>
        </is>
      </c>
      <c r="M54" s="49" t="inlineStr">
        <is>
          <t>Виж извадките към редове 39, 44 и 46.</t>
        </is>
      </c>
      <c r="N54" s="30" t="inlineStr">
        <is>
          <t>Обобщаващо изречение, съгласувано с редове 39 и 44 след корекциите. Не надхвърля източника.</t>
        </is>
      </c>
      <c r="O54" s="30" t="inlineStr">
        <is>
          <t>Claude (авт.)</t>
        </is>
      </c>
      <c r="P54" s="30" t="inlineStr">
        <is>
          <t>28.08.2026</t>
        </is>
      </c>
    </row>
    <row r="55" ht="78" customHeight="1" s="22">
      <c r="A55" s="28" t="n">
        <v>54</v>
      </c>
      <c r="B55" s="28" t="inlineStr">
        <is>
          <t>1.7</t>
        </is>
      </c>
      <c r="C55" s="28" t="inlineStr">
        <is>
          <t>[21]; [30]</t>
        </is>
      </c>
      <c r="D55" s="49" t="inlineStr">
        <is>
          <t>заменен; заменен</t>
        </is>
      </c>
      <c r="E55" s="29" t="inlineStr">
        <is>
          <t>гл. 21</t>
        </is>
      </c>
      <c r="F55" s="29" t="inlineStr">
        <is>
          <t>Съдържателната основа на тези критерии са установените педагогически и дизайнерски принципи: сравнителният анализ на ръководни документи за качество от различни образователни контексти показва, че те систематизират до голяма степен едни и същи изисквания за педагогическа издържаност и визуална организация [21], а доказателствено обоснованите принципи на мултимедийното учене предоставят емпирично проверена база, върху която такива критерии могат да стъпят [30, гл. 21].</t>
        </is>
      </c>
      <c r="G55" s="29" t="inlineStr">
        <is>
          <t>Двоен цитат + локатор</t>
        </is>
      </c>
      <c r="H55" s="29" t="inlineStr">
        <is>
          <t>Две отделни проверки: [21] за общността на изискванията и [30, гл. 21] за емпиричната база. Провери дали 5-о изд. изобщо има гл. 21.</t>
        </is>
      </c>
      <c r="I55" s="32" t="inlineStr">
        <is>
          <t>Висок</t>
        </is>
      </c>
      <c r="J55" s="30" t="inlineStr">
        <is>
          <t>Потвърдено</t>
        </is>
      </c>
      <c r="K55" s="30" t="inlineStr">
        <is>
          <t>Mayer 2021, JARMAC — ЗАМЕСТИТЕЛ на [30, гл. 21]</t>
        </is>
      </c>
      <c r="L55" s="48" t="inlineStr">
        <is>
          <t>https://www.sciencedirect.com/science/article/pii/S2211368121000231</t>
        </is>
      </c>
      <c r="M55" s="49" t="inlineStr">
        <is>
          <t>„this article examines evidence-based principles for how to design effective instructional videos and shows how they are grounded in cognitive theories of learning and instruction“; изведени са 14 принципа с посочени размери на ефекта.</t>
        </is>
      </c>
      <c r="N55" s="30" t="inlineStr">
        <is>
          <t>Емпирично обоснованата база за критерии се покрива. Готово за замяна.</t>
        </is>
      </c>
      <c r="O55" s="30" t="inlineStr">
        <is>
          <t>Claude (авт.)</t>
        </is>
      </c>
      <c r="P55" s="30" t="inlineStr">
        <is>
          <t>29.08.2026</t>
        </is>
      </c>
    </row>
    <row r="56" ht="78" customHeight="1" s="22">
      <c r="A56" s="28" t="n">
        <v>55</v>
      </c>
      <c r="B56" s="28" t="inlineStr">
        <is>
          <t>1.7</t>
        </is>
      </c>
      <c r="C56" s="28" t="inlineStr">
        <is>
          <t>[29]</t>
        </is>
      </c>
      <c r="D56" s="49" t="inlineStr">
        <is>
          <t>[32]</t>
        </is>
      </c>
      <c r="E56" s="29" t="n"/>
      <c r="F56" s="29" t="inlineStr">
        <is>
          <t>Показателен пример е рубриката на Quality Matters за висшето образование, чието седмо издание съдържа осем общи стандарта, разгърнати в четиридесет и четири конкретни ревизионни стандарта, и се прилага чрез структуриран колегиален преглед [29].</t>
        </is>
      </c>
      <c r="G56" s="29" t="inlineStr">
        <is>
          <t>Точни числа</t>
        </is>
      </c>
      <c r="H56" s="29" t="inlineStr">
        <is>
          <t>7-о издание на рубриката: осем общи стандарта и четиридесет и четири конкретни ревизионни стандарта. В по-ранни издания броят е различен.</t>
        </is>
      </c>
      <c r="I56" s="33" t="inlineStr">
        <is>
          <t>Критичен</t>
        </is>
      </c>
      <c r="J56" s="30" t="inlineStr">
        <is>
          <t>Потвърдено</t>
        </is>
      </c>
      <c r="K56" s="30" t="inlineStr">
        <is>
          <t>QM HE Rubric, 7-о изд.</t>
        </is>
      </c>
      <c r="L56" s="48" t="inlineStr">
        <is>
          <t>https://educationaldevelopment.uams.edu/qualitymatters/qm-rubric</t>
        </is>
      </c>
      <c r="M56" s="49" t="inlineStr">
        <is>
          <t>„This rubric is structured around 8 General Standards and 44 Specific Review Standards.“ (7-о издание; макс. 101 точки, 22 съществени стандарта)</t>
        </is>
      </c>
      <c r="N56" s="30" t="inlineStr">
        <is>
          <t>Потвърдено дословно: 8 общи стандарта и 44 конкретни ревизионни стандарта. (Макс. 101 точки; 22 съществени стандарта и 86 точки за сертификация.)</t>
        </is>
      </c>
      <c r="O56" s="30" t="inlineStr">
        <is>
          <t>Claude (авт.)</t>
        </is>
      </c>
      <c r="P56" s="30" t="inlineStr">
        <is>
          <t>28.08.2026</t>
        </is>
      </c>
    </row>
    <row r="57" ht="78" customHeight="1" s="22">
      <c r="A57" s="28" t="n">
        <v>56</v>
      </c>
      <c r="B57" s="28" t="inlineStr">
        <is>
          <t>1.7</t>
        </is>
      </c>
      <c r="C57" s="28" t="inlineStr">
        <is>
          <t>[32]</t>
        </is>
      </c>
      <c r="D57" s="49" t="inlineStr">
        <is>
          <t>[35]</t>
        </is>
      </c>
      <c r="E57" s="29" t="n"/>
      <c r="F57" s="29" t="inlineStr">
        <is>
          <t>В най-новата литература този подход достига зрялост под формата на валидирани скали за акредитационни стандарти и осигуряване на качеството в институциите за електронно обучение [32].</t>
        </is>
      </c>
      <c r="G57" s="29" t="inlineStr">
        <is>
          <t>Обобщение</t>
        </is>
      </c>
      <c r="H57" s="29" t="inlineStr">
        <is>
          <t>Дали [32] представя валидирана скала за акредитационни стандарти в институции за електронно обучение.</t>
        </is>
      </c>
      <c r="I57" s="28" t="inlineStr">
        <is>
          <t>Среден</t>
        </is>
      </c>
      <c r="J57" s="30" t="inlineStr">
        <is>
          <t>Потвърдено</t>
        </is>
      </c>
      <c r="K57" s="30" t="inlineStr">
        <is>
          <t>[32] Ramezani и Mostafavi, EAIT 30(15)</t>
        </is>
      </c>
      <c r="L57" s="48" t="inlineStr">
        <is>
          <t>https://link.springer.com/article/10.1007/s10639-025-13587-5</t>
        </is>
      </c>
      <c r="M57" s="49" t="inlineStr">
        <is>
          <t>„The resulting tool comprises 87 items across 46 criteria within five core dimensions: organization, research, technology, teaching–learning, and support.“ Валидирана чрез CVI 0,88, потвърждаващ факторен анализ, Cronbach's alpha и CR над 0,70.</t>
        </is>
      </c>
      <c r="N57" s="30" t="inlineStr">
        <is>
          <t>Валидираната скала се потвърждава. Можеш да добавиш конкретиката — 87 елемента в 46 критерия и пет измерения.</t>
        </is>
      </c>
      <c r="O57" s="30" t="inlineStr">
        <is>
          <t>Claude (авт.)</t>
        </is>
      </c>
      <c r="P57" s="30" t="inlineStr">
        <is>
          <t>28.08.2026</t>
        </is>
      </c>
    </row>
    <row r="58" ht="78" customHeight="1" s="22">
      <c r="A58" s="28" t="n">
        <v>57</v>
      </c>
      <c r="B58" s="28" t="inlineStr">
        <is>
          <t>1.7</t>
        </is>
      </c>
      <c r="C58" s="28" t="inlineStr">
        <is>
          <t>[26]</t>
        </is>
      </c>
      <c r="D58" s="49" t="inlineStr">
        <is>
          <t>[28]</t>
        </is>
      </c>
      <c r="E58" s="29" t="n"/>
      <c r="F58" s="29" t="inlineStr">
        <is>
          <t>Основополагащото изследване в тази област установява, че водещите езикови модели съвпадат с човешката преценка в над 80 на сто от случаите, като за най-силния модел съвпадението достига около 85 на сто — стойност, надхвърляща съгласуваността между самите човешки оценители, която е около 81 на сто [26].</t>
        </is>
      </c>
      <c r="G58" s="29" t="inlineStr">
        <is>
          <t>Три числа</t>
        </is>
      </c>
      <c r="H58" s="29" t="inlineStr">
        <is>
          <t>Над 80 % съвпадение; ~85 % за най-силния модел; ~81 % съгласуваност между хора. И трите — дословно, и с уточнение при кои условия.</t>
        </is>
      </c>
      <c r="I58" s="33" t="inlineStr">
        <is>
          <t>Критичен</t>
        </is>
      </c>
      <c r="J58" s="30" t="inlineStr">
        <is>
          <t>Потвърдено</t>
        </is>
      </c>
      <c r="K58" s="30" t="inlineStr">
        <is>
          <t>arXiv:2306.05685, раздел за съгласуваността (MT-Bench, setup S2)</t>
        </is>
      </c>
      <c r="L58" s="48" t="inlineStr">
        <is>
          <t>https://arxiv.org/html/2306.05685v4</t>
        </is>
      </c>
      <c r="M58" s="49" t="inlineStr">
        <is>
          <t>„The agreement under setup S2 (w/o tie) between GPT-4 and humans reaches 85%, which is even higher than the agreement among humans (81%).“ Абстракт: „achieving over 80% agreement“.</t>
        </is>
      </c>
      <c r="N58" s="30" t="inlineStr">
        <is>
          <t>Потвърдено дословно, включително „надхвърляща“: „The agreement under setup S2 (w/o tie) between GPT-4 and humans reaches 85%, which is even higher than the agreement among humans (81%).“ И трите числа са верни. ЕДНО УТОЧНЕНИЕ: стойностите важат при сравнение по двойки без допускане на равенство (setup S2). Добави условието в изречението, иначе числата изглеждат общовалидни.</t>
        </is>
      </c>
      <c r="O58" s="30" t="inlineStr">
        <is>
          <t>Claude (авт.)</t>
        </is>
      </c>
      <c r="P58" s="30" t="inlineStr">
        <is>
          <t>28.08.2026</t>
        </is>
      </c>
    </row>
    <row r="59" ht="78" customHeight="1" s="22">
      <c r="A59" s="58" t="n">
        <v>58</v>
      </c>
      <c r="B59" s="58" t="inlineStr">
        <is>
          <t>1.7</t>
        </is>
      </c>
      <c r="C59" s="58" t="inlineStr">
        <is>
          <t>[13]</t>
        </is>
      </c>
      <c r="D59" s="57" t="inlineStr">
        <is>
          <t>[14]</t>
        </is>
      </c>
      <c r="E59" s="59" t="n"/>
      <c r="F59" s="59" t="inlineStr">
        <is>
          <t>Систематичният преглед на полето подрежда натрупаните подходи по три оси — какво се оценява, как се оценява и как се измерва самото качество на оценяването — и документира приложението им в широк кръг задачи [13].</t>
        </is>
      </c>
      <c r="G59" s="59" t="inlineStr">
        <is>
          <t>Структура</t>
        </is>
      </c>
      <c r="H59" s="59" t="inlineStr">
        <is>
          <t>Трите оси на систематизацията — какво, как и как се измерва качеството на оценяването.</t>
        </is>
      </c>
      <c r="I59" s="58" t="inlineStr">
        <is>
          <t>Среден</t>
        </is>
      </c>
      <c r="J59" s="58" t="inlineStr">
        <is>
          <t>Потвърдено</t>
        </is>
      </c>
      <c r="K59" s="58" t="inlineStr">
        <is>
          <t>[13] — arXiv HTML v5</t>
        </is>
      </c>
      <c r="L59" s="60" t="inlineStr">
        <is>
          <t>https://arxiv.org/html/2411.16594v5</t>
        </is>
      </c>
      <c r="M59" s="57" t="inlineStr">
        <is>
          <t>Осите на прегледа са „what to judge“, „how to judge“ и „where to judge“ (приложения), а не „как се измерва качеството на оценяването“.</t>
        </is>
      </c>
      <c r="N59" s="58" t="inlineStr">
        <is>
          <t>Първите две оси съвпадат. Третата в източника е „where to judge“ — къде се прилага оценяването, а не как се измерва качеството му. НАНЕСЕНО В НИП 28.08: третата ос е поправена на „къде се прилага оценяването“. || ЗАТВОРЕН. Третата ос е поправена на „къде се прилага оценяването“.</t>
        </is>
      </c>
      <c r="O59" s="58" t="inlineStr">
        <is>
          <t>Claude (авт.)</t>
        </is>
      </c>
      <c r="P59" s="58" t="inlineStr">
        <is>
          <t>29.08.2026</t>
        </is>
      </c>
    </row>
    <row r="60" ht="78" customHeight="1" s="22">
      <c r="A60" s="28" t="n">
        <v>59</v>
      </c>
      <c r="B60" s="28" t="inlineStr">
        <is>
          <t>1.7</t>
        </is>
      </c>
      <c r="C60" s="28" t="inlineStr">
        <is>
          <t>[13]</t>
        </is>
      </c>
      <c r="D60" s="49" t="inlineStr">
        <is>
          <t>[14]</t>
        </is>
      </c>
      <c r="E60" s="29" t="n"/>
      <c r="F60" s="29" t="inlineStr">
        <is>
          <t>Систематизациите на полето документират устойчиви отклонения в преценката на моделите-оценители: предпочитание към по-дълги отговори, чувствителност към реда на представяне на сравняваните текстове, склонност към по-висока оценка на собствения им изход и ограничена надеждност при задачи, изискващи предметна експертиза отвъд езиковата компетентност [13].</t>
        </is>
      </c>
      <c r="G60" s="29" t="inlineStr">
        <is>
          <t>Списък отклонения</t>
        </is>
      </c>
      <c r="H60" s="29" t="inlineStr">
        <is>
          <t>Четирите отклонения — дължина, ред на представяне, самопредпочитание, предметна експертиза.</t>
        </is>
      </c>
      <c r="I60" s="32" t="inlineStr">
        <is>
          <t>Висок</t>
        </is>
      </c>
      <c r="J60" s="30" t="inlineStr">
        <is>
          <t>Потвърдено</t>
        </is>
      </c>
      <c r="K60" s="30" t="inlineStr">
        <is>
          <t>[13] — arXiv HTML v5</t>
        </is>
      </c>
      <c r="L60" s="48" t="inlineStr">
        <is>
          <t>https://arxiv.org/html/2411.16594v5</t>
        </is>
      </c>
      <c r="M60" s="49" t="inlineStr">
        <is>
          <t>Документирани отклонения: position sensitivity (предпочитание по реда), length preference — „longer or shorter responses regardless of quality“, self-preference, и затруднение при „subtle attributes“ / „domain-specific reliability issues“.</t>
        </is>
      </c>
      <c r="N60" s="30" t="inlineStr">
        <is>
          <t>И четирите отклонения се потвърждават (виж извадката).</t>
        </is>
      </c>
      <c r="O60" s="30" t="inlineStr">
        <is>
          <t>Claude (авт.)</t>
        </is>
      </c>
      <c r="P60" s="30" t="inlineStr">
        <is>
          <t>28.08.2026</t>
        </is>
      </c>
    </row>
    <row r="61" ht="78" customHeight="1" s="22">
      <c r="A61" s="58" t="n">
        <v>60</v>
      </c>
      <c r="B61" s="58" t="inlineStr">
        <is>
          <t>1.7</t>
        </is>
      </c>
      <c r="C61" s="58" t="inlineStr">
        <is>
          <t>[10]</t>
        </is>
      </c>
      <c r="D61" s="57" t="inlineStr">
        <is>
          <t>[10]</t>
        </is>
      </c>
      <c r="E61" s="59" t="n"/>
      <c r="F61" s="59" t="inlineStr">
        <is>
          <t>Още по-съществено за настоящата работа е установеното при многоезичните приложения: от над 650 публикации по темата едва тридесет и три разглеждат многоезични или нискоресурсни езикови условия, а техните резултати са непоследователни, преобладава прекомерното доверие в машинната преценка и почти навсякъде се използва единствен модел-оценител без независима човешка проверка [10].</t>
        </is>
      </c>
      <c r="G61" s="59" t="inlineStr">
        <is>
          <t>Числа</t>
        </is>
      </c>
      <c r="H61" s="59" t="inlineStr">
        <is>
          <t>„над 650 публикации“ и „едва тридесет и три“ многоезични. Първо потвърди, че самият източник съществува (запис без автор).</t>
        </is>
      </c>
      <c r="I61" s="61" t="inlineStr">
        <is>
          <t>Критичен</t>
        </is>
      </c>
      <c r="J61" s="58" t="inlineStr">
        <is>
          <t>Потвърдено</t>
        </is>
      </c>
      <c r="K61" s="58" t="inlineStr">
        <is>
          <t>arXiv:2607.02235 — абстракт и находки</t>
        </is>
      </c>
      <c r="L61" s="60" t="inlineStr">
        <is>
          <t>https://arxiv.org/html/2607.02235v1</t>
        </is>
      </c>
      <c r="M61" s="57" t="inlineStr">
        <is>
          <t>„48% of the papers rely on a single judge model family and 33% use GPT as the sole judge.“ От 650 публикации 33 се отнасят до многоезични или нискоресурсни условия.</t>
        </is>
      </c>
      <c r="N61" s="58" t="inlineStr">
        <is>
          <t>650 публикации и 33 многоезични се потвърждават точно. НО „почти навсякъде се използва единствен модел-оценител“ е по-силно от източника: 48 % разчитат на едно семейство модели, 33 % използват GPT като единствен оценител. ДЕЙСТВИЕ: замени с конкретните проценти. || НАНЕСЕНО В НИП 28.08: „почти навсякъде“ е заменено с 48 на сто едно семейство модели и 33 на сто единствен модел. || ЗАТВОРЕН. „Почти навсякъде“ е заменено с 48 и 33 на сто.</t>
        </is>
      </c>
      <c r="O61" s="58" t="inlineStr">
        <is>
          <t>Claude (авт.)</t>
        </is>
      </c>
      <c r="P61" s="58" t="inlineStr">
        <is>
          <t>29.08.2026</t>
        </is>
      </c>
    </row>
    <row r="62" ht="78" customHeight="1" s="22">
      <c r="A62" s="58" t="n">
        <v>61</v>
      </c>
      <c r="B62" s="58" t="inlineStr">
        <is>
          <t>1.7</t>
        </is>
      </c>
      <c r="C62" s="58" t="inlineStr">
        <is>
          <t>[7]</t>
        </is>
      </c>
      <c r="D62" s="57" t="inlineStr">
        <is>
          <t>[7]</t>
        </is>
      </c>
      <c r="E62" s="59" t="n"/>
      <c r="F62" s="59" t="inlineStr">
        <is>
          <t>Изследване върху проблемите и решенията при използването на генеративен изкуствен интелект в образованието извежда на преден план потребността от методики и инструменти за оценяване на качеството на генерираното учебно съдържание и посочва тревожни данни за него — според цитирано проучване едва около една шеста от генерираното съдържание отговаря на поставените критерии за качество [7].</t>
        </is>
      </c>
      <c r="G62" s="59" t="inlineStr">
        <is>
          <t>Вторично число</t>
        </is>
      </c>
      <c r="H62" s="59" t="inlineStr">
        <is>
          <t>„около една шеста от генерираното съдържание“ — проследи до първоизточника, който [7] цитира, и цитирай него или посочи изрично вторичността.</t>
        </is>
      </c>
      <c r="I62" s="61" t="inlineStr">
        <is>
          <t>Критичен</t>
        </is>
      </c>
      <c r="J62" s="58" t="inlineStr">
        <is>
          <t>Потвърдено</t>
        </is>
      </c>
      <c r="K62" s="58" t="inlineStr">
        <is>
          <t>генеративен ИИ (Педагогика), печ. стр. 1290</t>
        </is>
      </c>
      <c r="L62" s="60" t="inlineStr">
        <is>
          <t>https://journals.azbuki.bg/pedagogy/generativen-izkustven-intelekt-v-obrazovanieto-problemi-i-reseniya/view</t>
        </is>
      </c>
      <c r="M62" s="57" t="inlineStr">
        <is>
          <t>следвания разкриват значителна загриженост сред висшите училища по отно- шение на достоверността и качеството на генерираното съдържание. Според резултати на едно такова изследване едва 16% от генерираното съдържание отговаря на поставените критерии за качество (Peláez-Sánchez 2024). Пред- ставената информация трябва да бъде достоверна, релевантна, четлива, да не</t>
        </is>
      </c>
      <c r="N62" s="58" t="inlineStr">
        <is>
          <t>Източникът пише „едва 16 % от генерираното съдържание отговаря на поставените критерии за качество (Peláez-Sánchez 2024)“. Потвърждава се вторичността. ДЕЙСТВИЕ: замени „около една шеста“ с „16 %“ и цитирай Peláez-Sánchez 2024 или изрично посочи, че данните са цитирани в [7]. || НАНЕСЕНО В НИП 28.08: „около една шеста“ стана „шестнадесет на сто“, добавено е „цитирано в него“. || ЗАТВОРЕН. „Около една шеста“ стана „шестнадесет на сто“, добавено е „цитирано в него“.</t>
        </is>
      </c>
      <c r="O62" s="58" t="inlineStr">
        <is>
          <t>Claude (авт.)</t>
        </is>
      </c>
      <c r="P62" s="58" t="inlineStr">
        <is>
          <t>29.08.2026</t>
        </is>
      </c>
    </row>
    <row r="63" ht="78" customHeight="1" s="22">
      <c r="A63" s="28" t="n">
        <v>62</v>
      </c>
      <c r="B63" s="28" t="inlineStr">
        <is>
          <t>1.7</t>
        </is>
      </c>
      <c r="C63" s="28" t="inlineStr">
        <is>
          <t>[13]</t>
        </is>
      </c>
      <c r="D63" s="49" t="inlineStr">
        <is>
          <t>[14]</t>
        </is>
      </c>
      <c r="E63" s="29" t="n"/>
      <c r="F63" s="29" t="inlineStr">
        <is>
          <t>Систематизациите на автоматизираното оценяване извеждат същите два въпроса и по отношение на машинните оценители [13].</t>
        </is>
      </c>
      <c r="G63" s="29" t="inlineStr">
        <is>
          <t>Обобщение</t>
        </is>
      </c>
      <c r="H63" s="29" t="inlineStr">
        <is>
          <t>Кратка препратка — провери дали [13] поставя същите два въпроса.</t>
        </is>
      </c>
      <c r="I63" s="28" t="inlineStr">
        <is>
          <t>Нисък</t>
        </is>
      </c>
      <c r="J63" s="30" t="inlineStr">
        <is>
          <t>Потвърдено</t>
        </is>
      </c>
      <c r="K63" s="30" t="inlineStr">
        <is>
          <t>[13] — arXiv HTML v5</t>
        </is>
      </c>
      <c r="L63" s="48" t="inlineStr">
        <is>
          <t>https://arxiv.org/html/2411.16594v5</t>
        </is>
      </c>
      <c r="M63" s="49" t="inlineStr">
        <is>
          <t>Същата систематизация — виж редове 58 и 59.</t>
        </is>
      </c>
      <c r="N63" s="30" t="inlineStr">
        <is>
          <t>Кратка препратка, покрита от редове 58 и 59.</t>
        </is>
      </c>
      <c r="O63" s="30" t="inlineStr">
        <is>
          <t>Claude (авт.)</t>
        </is>
      </c>
      <c r="P63" s="30" t="inlineStr">
        <is>
          <t>28.08.2026</t>
        </is>
      </c>
    </row>
    <row r="64" ht="78" customHeight="1" s="22">
      <c r="A64" s="28" t="n">
        <v>63</v>
      </c>
      <c r="B64" s="28" t="inlineStr">
        <is>
          <t>Изводи</t>
        </is>
      </c>
      <c r="C64" s="28" t="inlineStr">
        <is>
          <t>[26]</t>
        </is>
      </c>
      <c r="D64" s="49" t="inlineStr">
        <is>
          <t>[28]</t>
        </is>
      </c>
      <c r="E64" s="29" t="n"/>
      <c r="F64" s="29" t="inlineStr">
        <is>
          <t>Автоматизираното оценяване напредва бързо: моделите в ролята на оценители вече постигат съвпадение с човешката преценка над 80 на сто в изследвани условия [26], а част от проверките — за четивност, за съществуване на цитирани източници, за близост до съществуващи текстове — са автоматизируеми още днес.</t>
        </is>
      </c>
      <c r="G64" s="29" t="inlineStr">
        <is>
          <t>Число (повторение)</t>
        </is>
      </c>
      <c r="H64" s="29" t="inlineStr">
        <is>
          <t>Същото число като ред 57 — провери съгласуваността между двете места в текста.</t>
        </is>
      </c>
      <c r="I64" s="32" t="inlineStr">
        <is>
          <t>Висок</t>
        </is>
      </c>
      <c r="J64" s="30" t="inlineStr">
        <is>
          <t>Потвърдено</t>
        </is>
      </c>
      <c r="K64" s="30" t="inlineStr">
        <is>
          <t>arXiv:2306.05685 — същият пасаж</t>
        </is>
      </c>
      <c r="L64" s="48" t="inlineStr">
        <is>
          <t>https://arxiv.org/html/2306.05685v4</t>
        </is>
      </c>
      <c r="M64" s="49" t="inlineStr">
        <is>
          <t>Същият пасаж като ред 57.</t>
        </is>
      </c>
      <c r="N64" s="30" t="inlineStr">
        <is>
          <t>Съгласувано с ред 57. Формулировката „в изследвани условия“ тук е коректна и покрива ограничението S2.</t>
        </is>
      </c>
      <c r="O64" s="30" t="inlineStr">
        <is>
          <t>Claude (авт.)</t>
        </is>
      </c>
      <c r="P64" s="30" t="inlineStr">
        <is>
          <t>28.08.2026</t>
        </is>
      </c>
    </row>
    <row r="65" ht="78" customHeight="1" s="22">
      <c r="A65" s="58" t="n">
        <v>64</v>
      </c>
      <c r="B65" s="58" t="inlineStr">
        <is>
          <t>Изводи</t>
        </is>
      </c>
      <c r="C65" s="58" t="inlineStr">
        <is>
          <t>[10]</t>
        </is>
      </c>
      <c r="D65" s="57" t="inlineStr">
        <is>
          <t>[10]</t>
        </is>
      </c>
      <c r="E65" s="59" t="n"/>
      <c r="F65" s="59" t="inlineStr">
        <is>
          <t>Същевременно документираните отклонения в машинната преценка, липсата на валидирани данни за нискоресурсни езици като българския [10] и невъзможността автоматизирано да се преценят дидактическата уместност за конкретен курс и етичната допустимост определят настоящия избор: моделът се проектира като инструмент за структуриране на експертна човешка преценка, изграден така, че отделните му показатели да могат да бъдат автоматизирани поетапно с узряването на средствата.</t>
        </is>
      </c>
      <c r="G65" s="59" t="inlineStr">
        <is>
          <t>Извод</t>
        </is>
      </c>
      <c r="H65" s="59" t="inlineStr">
        <is>
          <t>Липсата на валидирани данни за нискоресурсни езици — дали [10] го твърди и дали покрива българския. Изводът на главата стъпва на този източник.</t>
        </is>
      </c>
      <c r="I65" s="61" t="inlineStr">
        <is>
          <t>Критичен</t>
        </is>
      </c>
      <c r="J65" s="58" t="inlineStr">
        <is>
          <t>Потвърдено</t>
        </is>
      </c>
      <c r="K65" s="58" t="inlineStr">
        <is>
          <t>arXiv:2607.02235 — препоръка 4 и приложението с езиците</t>
        </is>
      </c>
      <c r="L65" s="60" t="inlineStr">
        <is>
          <t>https://arxiv.org/html/2607.02235v1</t>
        </is>
      </c>
      <c r="M65" s="57" t="inlineStr">
        <is>
          <t>Препоръка 4 „Keep humans in the loop“. От славянските езици са включени чешки, полски, руски и сръбски, класифицирани като по-високоресурсни. Българският не се споменава.</t>
        </is>
      </c>
      <c r="N65" s="58" t="inlineStr">
        <is>
          <t>Препоръката за задължително човешко участие при нискоресурсни езици се потвърждава. НО източникът НЕ разглежда българския език: от славянските са включени чешки, полски, руски и сръбски, всички класифицирани като по-високоресурсни. Формулировката „нискоресурсни езици като българския [10]“ приписва на източника класификация, която той не прави. ДЕЙСТВИЕ: отдели двете — липсата на валидирани данни за нискоресурсни езици е на [10]; отнасянето на българския към тях е твой извод и трябва да е обозначено като такъв. || ЗАТВОРЕН. Липсата на валидирани данни е на [15]; отнасянето на българския към нискоресурсните езици е обозначено като извод на работата.</t>
        </is>
      </c>
      <c r="O65" s="58" t="inlineStr">
        <is>
          <t>Claude (авт.)</t>
        </is>
      </c>
      <c r="P65" s="58" t="inlineStr">
        <is>
          <t>29.08.2026</t>
        </is>
      </c>
    </row>
    <row r="66" ht="150" customHeight="1" s="22">
      <c r="A66" s="65" t="n">
        <v>65</v>
      </c>
      <c r="B66" s="65" t="inlineStr">
        <is>
          <t>1.2</t>
        </is>
      </c>
      <c r="C66" s="65" t="inlineStr">
        <is>
          <t>—</t>
        </is>
      </c>
      <c r="D66" s="65" t="inlineStr">
        <is>
          <t>[47]</t>
        </is>
      </c>
      <c r="E66" s="65" t="inlineStr">
        <is>
          <t>— (абзацът е премахнат)</t>
        </is>
      </c>
      <c r="F66" s="65" t="inlineStr">
        <is>
          <t>…контролът върху количествените характеристики на генерираното съдържание се разработва в източниците през равнището на езика — дължина, речник и сложност на изреченията [47], — а не през съотнасянето на обема с отделеното учебно време.</t>
        </is>
      </c>
      <c r="G66" s="65" t="inlineStr">
        <is>
          <t>Механизъм на рамка + констатация за модели</t>
        </is>
      </c>
      <c r="H66" s="65" t="inlineStr">
        <is>
          <t>Че COGENT управлява четивността именно чрез дължина, речник и сложност на изреченията — т.е. през равнището на езика.</t>
        </is>
      </c>
      <c r="I66" s="65" t="inlineStr">
        <is>
          <t>Критичен</t>
        </is>
      </c>
      <c r="J66" s="70" t="inlineStr">
        <is>
          <t>ОТПАДА — твърдението вече не е в текста</t>
        </is>
      </c>
      <c r="K66" s="65" t="inlineStr">
        <is>
          <t>Резюме на статията (BEA 2025 / arXiv:2506.09367)</t>
        </is>
      </c>
      <c r="L66" s="66" t="inlineStr">
        <is>
          <t>https://aclanthology.org/2025.bea-1.10/</t>
        </is>
      </c>
      <c r="M66" s="65" t="inlineStr">
        <is>
          <t>„Models often fail to align with curriculum standards and maintain grade-appropriate reading levels consistently.“ | „…we propose COGENT, a curriculum-oriented framework for generating grade-appropriate educational content. We incorporate three curriculum components (science concepts, core ideas, and learning objectives), control readability through length, vocabulary, and sentence complexity…“</t>
        </is>
      </c>
      <c r="N66" s="65" t="inlineStr">
        <is>
          <t>ТРИ ПОСЛЕДОВАТЕЛНИ ГРЕШКИ, ЗАКРИТИ С ПРЕМАХВАНЕ НА АБЗАЦА (31.08.2026). (1) Абзацът твърдеше, че рамките въвеждат ограничения „именно защото зададеният обем не се спазва сам по себе си“ — източникът не казва това. (2) Първата поправка запази [47] като подкрепа на абзац за обем спрямо учебно време, докато „length“ у COGENT е дължина за съобразяване с езиковото равнище. (3) Втората поправка направи абзаца вътрешно противоречив — първата половина въвеждаше показател, втората обясняваше, че литературата не го поддържа. Решаващото обстоятелство: абзацът ПРОТИВОРЕЧИ на собствения модел — т. 3.3, абз. 221 изрично постановява, че „преобразуването на обема в учебно време остава преценка на преподавателя… и затова не се вписва в модела като отделно изискване“. Абзацът е премахнат изцяло от МТ (абз. 54) и от НИП (абз. 33). Въпросът се покрива коректно другаде: т. 2.3 (абз. 167) като контекстуален критерий, преценяван от преподавателя, и показател П14 — обем спрямо ЗАЯВЕНИЯ обем.</t>
        </is>
      </c>
      <c r="O66" s="65" t="inlineStr">
        <is>
          <t>Claude (авт.)</t>
        </is>
      </c>
      <c r="P66" s="65" t="inlineStr">
        <is>
          <t>31.08.2026</t>
        </is>
      </c>
    </row>
    <row r="67" ht="150" customHeight="1" s="22">
      <c r="A67" s="65" t="n">
        <v>66</v>
      </c>
      <c r="B67" s="65" t="inlineStr">
        <is>
          <t>1.1</t>
        </is>
      </c>
      <c r="C67" s="65" t="inlineStr">
        <is>
          <t>—</t>
        </is>
      </c>
      <c r="D67" s="65" t="inlineStr">
        <is>
          <t>[49]</t>
        </is>
      </c>
      <c r="E67" s="65" t="inlineStr">
        <is>
          <t>абз. 44</t>
        </is>
      </c>
      <c r="F67" s="65" t="inlineStr">
        <is>
          <t>Генерираното съдържание подлежи на човешка валидация за точност, издържаност и съответствие със стандартите и не може да бъде използвано в непроменен вид в учебно значими контексти без проверка от специалист по предметната област, който да провери фактите, да прецени материала за пристрастност и да съобрази изискванията за достъпност [49].</t>
        </is>
      </c>
      <c r="G67" s="65" t="inlineStr">
        <is>
          <t>Нормативно изискване</t>
        </is>
      </c>
      <c r="H67" s="65" t="inlineStr">
        <is>
          <t>Че документът формулира изискване за човешка валидация и изброява точно тези проверки.</t>
        </is>
      </c>
      <c r="I67" s="65" t="inlineStr">
        <is>
          <t>Критичен</t>
        </is>
      </c>
      <c r="J67" s="65" t="inlineStr">
        <is>
          <t>Потвърдено</t>
        </is>
      </c>
      <c r="K67" s="65" t="inlineStr">
        <is>
          <t>1EdTech AIGC Best Practices v1.0</t>
        </is>
      </c>
      <c r="L67" s="66" t="inlineStr">
        <is>
          <t>https://www.imsglobal.org/resource/AI-Generated_Content_Best_Practices/v1p0</t>
        </is>
      </c>
      <c r="M67" s="65" t="inlineStr">
        <is>
          <t>„AI-generated content requires human validation to ensure accuracy, rigor, and alignment with standards.“ | „AI-generated content cannot be used ‘as is’ for high-stakes or learning-critical contexts without subject matter expert validation.“ | „An organization’s staff, educators, or SMEs should fact-check content for accuracy, evaluate for potential bias, and review for accessibility compliance.“</t>
        </is>
      </c>
      <c r="N67" s="65" t="inlineStr">
        <is>
          <t>Ново твърдение от 31.08.2026 — замества непокрития абзац „Институционално създаваното съдържание…“.</t>
        </is>
      </c>
      <c r="O67" s="65" t="inlineStr">
        <is>
          <t>Claude (авт.)</t>
        </is>
      </c>
      <c r="P67" s="65" t="inlineStr">
        <is>
          <t>31.08.2026</t>
        </is>
      </c>
    </row>
    <row r="68" ht="150" customHeight="1" s="22">
      <c r="A68" s="65" t="n">
        <v>67</v>
      </c>
      <c r="B68" s="65" t="inlineStr">
        <is>
          <t>1.1</t>
        </is>
      </c>
      <c r="C68" s="65" t="inlineStr">
        <is>
          <t>—</t>
        </is>
      </c>
      <c r="D68" s="65" t="inlineStr">
        <is>
          <t>[49]</t>
        </is>
      </c>
      <c r="E68" s="65" t="inlineStr">
        <is>
          <t>абз. 44</t>
        </is>
      </c>
      <c r="F68" s="65" t="inlineStr">
        <is>
          <t>При най-високото равнище от същата скала съдържанието се създава и публикува с минимален или никакъв човешки надзор [49].</t>
        </is>
      </c>
      <c r="G68" s="65" t="inlineStr">
        <is>
          <t>Дефиниция от скала</t>
        </is>
      </c>
      <c r="H68" s="65" t="inlineStr">
        <is>
          <t>Че равнище 5 от скалата е дефинирано именно така.</t>
        </is>
      </c>
      <c r="I68" s="65" t="inlineStr">
        <is>
          <t>Критичен</t>
        </is>
      </c>
      <c r="J68" s="65" t="inlineStr">
        <is>
          <t>Потвърдено</t>
        </is>
      </c>
      <c r="K68" s="65" t="inlineStr">
        <is>
          <t>1EdTech AIGC Best Practices v1.0 — Content Transparency Rating, равнище 5</t>
        </is>
      </c>
      <c r="L68" s="66" t="inlineStr">
        <is>
          <t>https://www.imsglobal.org/resource/AI-Generated_Content_Best_Practices/v1p0</t>
        </is>
      </c>
      <c r="M68" s="65" t="inlineStr">
        <is>
          <t>„Fully AI-Generated — GenAI autonomously generates and publishes content with minimal or no human oversight.“</t>
        </is>
      </c>
      <c r="N68" s="65" t="inlineStr">
        <is>
          <t>Ново твърдение от 31.08.2026.</t>
        </is>
      </c>
      <c r="O68" s="65" t="inlineStr">
        <is>
          <t>Claude (авт.)</t>
        </is>
      </c>
      <c r="P68" s="65" t="inlineStr">
        <is>
          <t>31.08.2026</t>
        </is>
      </c>
    </row>
  </sheetData>
  <autoFilter ref="A1:M65"/>
  <dataValidations count="1">
    <dataValidation sqref="I2:I65" showDropDown="0" showInputMessage="0" showErrorMessage="0" allowBlank="1" type="list" errorStyle="stop" operator="between">
      <formula1>"Непроверено,Потвърдено,Частично потвърдено,Не се потвърждава,Източникът не е намерен,Няма достъп — за ръчна проверка"</formula1>
      <formula2>0</formula2>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L13" r:id="rId13"/>
    <hyperlink xmlns:r="http://schemas.openxmlformats.org/officeDocument/2006/relationships" ref="K14" r:id="rId14"/>
    <hyperlink xmlns:r="http://schemas.openxmlformats.org/officeDocument/2006/relationships" ref="K15" r:id="rId15"/>
    <hyperlink xmlns:r="http://schemas.openxmlformats.org/officeDocument/2006/relationships" ref="K16" r:id="rId16"/>
    <hyperlink xmlns:r="http://schemas.openxmlformats.org/officeDocument/2006/relationships" ref="L16" r:id="rId17"/>
    <hyperlink xmlns:r="http://schemas.openxmlformats.org/officeDocument/2006/relationships" ref="K17" r:id="rId18"/>
    <hyperlink xmlns:r="http://schemas.openxmlformats.org/officeDocument/2006/relationships" ref="K18" r:id="rId19"/>
    <hyperlink xmlns:r="http://schemas.openxmlformats.org/officeDocument/2006/relationships" ref="K19" r:id="rId20"/>
    <hyperlink xmlns:r="http://schemas.openxmlformats.org/officeDocument/2006/relationships" ref="K20" r:id="rId21"/>
    <hyperlink xmlns:r="http://schemas.openxmlformats.org/officeDocument/2006/relationships" ref="K21" r:id="rId22"/>
    <hyperlink xmlns:r="http://schemas.openxmlformats.org/officeDocument/2006/relationships" ref="K22" r:id="rId23"/>
    <hyperlink xmlns:r="http://schemas.openxmlformats.org/officeDocument/2006/relationships" ref="K23" r:id="rId24"/>
    <hyperlink xmlns:r="http://schemas.openxmlformats.org/officeDocument/2006/relationships" ref="K24" r:id="rId25"/>
    <hyperlink xmlns:r="http://schemas.openxmlformats.org/officeDocument/2006/relationships" ref="K25" r:id="rId26"/>
    <hyperlink xmlns:r="http://schemas.openxmlformats.org/officeDocument/2006/relationships" ref="K26" r:id="rId27"/>
    <hyperlink xmlns:r="http://schemas.openxmlformats.org/officeDocument/2006/relationships" ref="K27" r:id="rId28"/>
    <hyperlink xmlns:r="http://schemas.openxmlformats.org/officeDocument/2006/relationships" ref="K28" r:id="rId29"/>
    <hyperlink xmlns:r="http://schemas.openxmlformats.org/officeDocument/2006/relationships" ref="K29" r:id="rId30"/>
    <hyperlink xmlns:r="http://schemas.openxmlformats.org/officeDocument/2006/relationships" ref="K30" r:id="rId31"/>
    <hyperlink xmlns:r="http://schemas.openxmlformats.org/officeDocument/2006/relationships" ref="K31" r:id="rId32"/>
    <hyperlink xmlns:r="http://schemas.openxmlformats.org/officeDocument/2006/relationships" ref="K32" r:id="rId33"/>
    <hyperlink xmlns:r="http://schemas.openxmlformats.org/officeDocument/2006/relationships" ref="K33" r:id="rId34"/>
    <hyperlink xmlns:r="http://schemas.openxmlformats.org/officeDocument/2006/relationships" ref="K34" r:id="rId35"/>
    <hyperlink xmlns:r="http://schemas.openxmlformats.org/officeDocument/2006/relationships" ref="K35" r:id="rId36"/>
    <hyperlink xmlns:r="http://schemas.openxmlformats.org/officeDocument/2006/relationships" ref="L35" r:id="rId37"/>
    <hyperlink xmlns:r="http://schemas.openxmlformats.org/officeDocument/2006/relationships" ref="K36" r:id="rId38"/>
    <hyperlink xmlns:r="http://schemas.openxmlformats.org/officeDocument/2006/relationships" ref="K37" r:id="rId39"/>
    <hyperlink xmlns:r="http://schemas.openxmlformats.org/officeDocument/2006/relationships" ref="K38" r:id="rId40"/>
    <hyperlink xmlns:r="http://schemas.openxmlformats.org/officeDocument/2006/relationships" ref="K39" r:id="rId41"/>
    <hyperlink xmlns:r="http://schemas.openxmlformats.org/officeDocument/2006/relationships" ref="K40" r:id="rId42"/>
    <hyperlink xmlns:r="http://schemas.openxmlformats.org/officeDocument/2006/relationships" ref="K41" r:id="rId43"/>
    <hyperlink xmlns:r="http://schemas.openxmlformats.org/officeDocument/2006/relationships" ref="K42" r:id="rId44"/>
    <hyperlink xmlns:r="http://schemas.openxmlformats.org/officeDocument/2006/relationships" ref="K43" r:id="rId45"/>
    <hyperlink xmlns:r="http://schemas.openxmlformats.org/officeDocument/2006/relationships" ref="K44" r:id="rId46"/>
    <hyperlink xmlns:r="http://schemas.openxmlformats.org/officeDocument/2006/relationships" ref="K45" r:id="rId47"/>
    <hyperlink xmlns:r="http://schemas.openxmlformats.org/officeDocument/2006/relationships" ref="K46" r:id="rId48"/>
    <hyperlink xmlns:r="http://schemas.openxmlformats.org/officeDocument/2006/relationships" ref="K47" r:id="rId49"/>
    <hyperlink xmlns:r="http://schemas.openxmlformats.org/officeDocument/2006/relationships" ref="K48" r:id="rId50"/>
    <hyperlink xmlns:r="http://schemas.openxmlformats.org/officeDocument/2006/relationships" ref="K49" r:id="rId51"/>
    <hyperlink xmlns:r="http://schemas.openxmlformats.org/officeDocument/2006/relationships" ref="K50" r:id="rId52"/>
    <hyperlink xmlns:r="http://schemas.openxmlformats.org/officeDocument/2006/relationships" ref="K51" r:id="rId53"/>
    <hyperlink xmlns:r="http://schemas.openxmlformats.org/officeDocument/2006/relationships" ref="K52" r:id="rId54"/>
    <hyperlink xmlns:r="http://schemas.openxmlformats.org/officeDocument/2006/relationships" ref="K53" r:id="rId55"/>
    <hyperlink xmlns:r="http://schemas.openxmlformats.org/officeDocument/2006/relationships" ref="K54" r:id="rId56"/>
    <hyperlink xmlns:r="http://schemas.openxmlformats.org/officeDocument/2006/relationships" ref="K55" r:id="rId57"/>
    <hyperlink xmlns:r="http://schemas.openxmlformats.org/officeDocument/2006/relationships" ref="K56" r:id="rId58"/>
    <hyperlink xmlns:r="http://schemas.openxmlformats.org/officeDocument/2006/relationships" ref="K57" r:id="rId59"/>
    <hyperlink xmlns:r="http://schemas.openxmlformats.org/officeDocument/2006/relationships" ref="K58" r:id="rId60"/>
    <hyperlink xmlns:r="http://schemas.openxmlformats.org/officeDocument/2006/relationships" ref="K59" r:id="rId61"/>
    <hyperlink xmlns:r="http://schemas.openxmlformats.org/officeDocument/2006/relationships" ref="K60" r:id="rId62"/>
    <hyperlink xmlns:r="http://schemas.openxmlformats.org/officeDocument/2006/relationships" ref="K61" r:id="rId63"/>
    <hyperlink xmlns:r="http://schemas.openxmlformats.org/officeDocument/2006/relationships" ref="K62" r:id="rId64"/>
    <hyperlink xmlns:r="http://schemas.openxmlformats.org/officeDocument/2006/relationships" ref="K63" r:id="rId65"/>
    <hyperlink xmlns:r="http://schemas.openxmlformats.org/officeDocument/2006/relationships" ref="K64" r:id="rId66"/>
    <hyperlink xmlns:r="http://schemas.openxmlformats.org/officeDocument/2006/relationships" ref="K65" r:id="rId67"/>
    <hyperlink xmlns:r="http://schemas.openxmlformats.org/officeDocument/2006/relationships" ref="L66" r:id="rId68"/>
    <hyperlink xmlns:r="http://schemas.openxmlformats.org/officeDocument/2006/relationships" ref="L67" r:id="rId69"/>
    <hyperlink xmlns:r="http://schemas.openxmlformats.org/officeDocument/2006/relationships" ref="L68" r:id="rId7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J5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outlineLevelCol="0"/>
  <cols>
    <col width="5" customWidth="1" style="22" min="1" max="1"/>
    <col width="9" customWidth="1" style="22" min="2" max="2"/>
    <col width="8" customWidth="1" style="22" min="3" max="3"/>
    <col width="95" customWidth="1" style="22" min="4" max="4"/>
    <col width="20" customWidth="1" style="22" min="5" max="5"/>
    <col width="26" customWidth="1" style="22" min="6" max="6"/>
    <col width="60" customWidth="1" style="22" min="7" max="7"/>
    <col width="34" customWidth="1" style="22" min="8" max="8"/>
    <col width="13" customWidth="1" style="22" min="9" max="9"/>
    <col width="11" customWidth="1" style="22" min="10" max="10"/>
  </cols>
  <sheetData>
    <row r="1" ht="30" customHeight="1" s="22">
      <c r="A1" s="50" t="inlineStr">
        <is>
          <t>№</t>
        </is>
      </c>
      <c r="B1" s="50" t="inlineStr">
        <is>
          <t>Раздел</t>
        </is>
      </c>
      <c r="C1" s="50" t="inlineStr">
        <is>
          <t>Абзац</t>
        </is>
      </c>
      <c r="D1" s="50" t="inlineStr">
        <is>
          <t>Изречение без цитат</t>
        </is>
      </c>
      <c r="E1" s="50" t="inlineStr">
        <is>
          <t>Решение</t>
        </is>
      </c>
      <c r="F1" s="50" t="inlineStr">
        <is>
          <t>Източник, който го подкрепя</t>
        </is>
      </c>
      <c r="G1" s="50" t="inlineStr">
        <is>
          <t>Извадка от източника</t>
        </is>
      </c>
      <c r="H1" s="50" t="inlineStr">
        <is>
          <t>Действие в текста</t>
        </is>
      </c>
      <c r="I1" s="50" t="inlineStr">
        <is>
          <t>Проверил</t>
        </is>
      </c>
      <c r="J1" s="50" t="inlineStr">
        <is>
          <t>Дата</t>
        </is>
      </c>
    </row>
    <row r="2" ht="48" customHeight="1" s="22">
      <c r="A2" s="49" t="n">
        <v>1</v>
      </c>
      <c r="B2" s="49" t="inlineStr">
        <is>
          <t>1.1</t>
        </is>
      </c>
      <c r="C2" s="49" t="n">
        <v>11</v>
      </c>
      <c r="D2" s="49" t="inlineStr">
        <is>
          <t>Първите две точки установяват какво представлява електронното учебно съдържание и на какви педагогически изисквания трябва да отговаря то — независимо от начина, по който е създадено.</t>
        </is>
      </c>
      <c r="E2" s="57" t="inlineStr">
        <is>
          <t>Рамка на изложението — не изисква източник</t>
        </is>
      </c>
      <c r="F2" s="57" t="inlineStr"/>
      <c r="G2" s="57" t="inlineStr"/>
      <c r="H2"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2" s="57" t="inlineStr">
        <is>
          <t>Claude (авт.)</t>
        </is>
      </c>
      <c r="J2" s="57" t="inlineStr">
        <is>
          <t>29.08.2026</t>
        </is>
      </c>
    </row>
    <row r="3" ht="48" customHeight="1" s="22">
      <c r="A3" s="49" t="n">
        <v>2</v>
      </c>
      <c r="B3" s="49" t="inlineStr">
        <is>
          <t>1.1</t>
        </is>
      </c>
      <c r="C3" s="49" t="n">
        <v>11</v>
      </c>
      <c r="D3" s="49" t="inlineStr">
        <is>
          <t>Шестата точка очертава нормативната рамка — етичните, правните и академичните изисквания, а седмата разглежда съществуващите подходи за оценяване на качеството и установява защо те са недостатъчни за съдържанието, създадено с генеративни инструменти.</t>
        </is>
      </c>
      <c r="E3" s="57" t="inlineStr">
        <is>
          <t>Рамка на изложението — не изисква източник</t>
        </is>
      </c>
      <c r="F3" s="57" t="inlineStr"/>
      <c r="G3" s="57" t="inlineStr"/>
      <c r="H3"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 s="57" t="inlineStr">
        <is>
          <t>Claude (авт.)</t>
        </is>
      </c>
      <c r="J3" s="57" t="inlineStr">
        <is>
          <t>29.08.2026</t>
        </is>
      </c>
    </row>
    <row r="4" ht="48" customHeight="1" s="22">
      <c r="A4" s="49" t="n">
        <v>3</v>
      </c>
      <c r="B4" s="49" t="inlineStr">
        <is>
          <t>1.1</t>
        </is>
      </c>
      <c r="C4" s="49" t="n">
        <v>12</v>
      </c>
      <c r="D4" s="49" t="inlineStr">
        <is>
          <t>В научната литература електронното учебно съдържание се определя най-общо като съвкупност от учебни материали в цифров формат, предназначени да подпомогнат постигането на предварително формулирани учебни цели и достъпни за обучаемия чрез електронно устройство.</t>
        </is>
      </c>
      <c r="E4" s="51" t="inlineStr">
        <is>
          <t>Покрито от цитата в същия абзац</t>
        </is>
      </c>
      <c r="F4" s="51" t="inlineStr"/>
      <c r="G4" s="51" t="inlineStr"/>
      <c r="H4"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 s="51" t="inlineStr">
        <is>
          <t>Claude (авт.)</t>
        </is>
      </c>
      <c r="J4" s="51" t="inlineStr">
        <is>
          <t>29.08.2026</t>
        </is>
      </c>
    </row>
    <row r="5" ht="48" customHeight="1" s="22">
      <c r="A5" s="49" t="n">
        <v>4</v>
      </c>
      <c r="B5" s="49" t="inlineStr">
        <is>
          <t>1.1</t>
        </is>
      </c>
      <c r="C5" s="49" t="n">
        <v>13</v>
      </c>
      <c r="D5" s="49" t="inlineStr">
        <is>
          <t>Електронното обучение обозначава формата на организация на учебния процес; електронната образователна среда — технологичната платформа, в която той протича; а електронното учебно съдържание е самият учебен материал, който средата поднася и формата организира.</t>
        </is>
      </c>
      <c r="E5" s="51" t="inlineStr">
        <is>
          <t>Преформулиране</t>
        </is>
      </c>
      <c r="F5" s="51" t="inlineStr">
        <is>
          <t>—</t>
        </is>
      </c>
      <c r="G5" s="51" t="inlineStr"/>
      <c r="H5" s="51" t="inlineStr">
        <is>
          <t>Абзац 12 вече обявява работна позиция. Тук се добавя същото: „В настоящата разработка трите понятия се разграничават така…“. Дефиницията на електронното обучение стъпва на [11]; другите две са работни разграничения за нуждите на изложението, не твърдения за литературата.</t>
        </is>
      </c>
      <c r="I5" s="51" t="inlineStr">
        <is>
          <t>Claude (авт.)</t>
        </is>
      </c>
      <c r="J5" s="51" t="inlineStr">
        <is>
          <t>29.08.2026</t>
        </is>
      </c>
    </row>
    <row r="6" ht="48" customHeight="1" s="22">
      <c r="A6" s="49" t="n">
        <v>5</v>
      </c>
      <c r="B6" s="49" t="inlineStr">
        <is>
          <t>1.1</t>
        </is>
      </c>
      <c r="C6" s="49" t="n">
        <v>14</v>
      </c>
      <c r="D6" s="49" t="inlineStr">
        <is>
          <t>Към тях се добавят независимостта от време и място на достъпа, възможността за адаптиране към индивидуалните потребности на обучаемия и проследимостта — цифровата среда регистрира кога и как съдържанието се използва, което създава предпоставки за обратна връзка и усъвършенстване.</t>
        </is>
      </c>
      <c r="E6" s="51" t="inlineStr">
        <is>
          <t>Покрито от цитата в същия абзац</t>
        </is>
      </c>
      <c r="F6" s="51" t="inlineStr"/>
      <c r="G6" s="51" t="inlineStr"/>
      <c r="H6"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6" s="51" t="inlineStr">
        <is>
          <t>Claude (авт.)</t>
        </is>
      </c>
      <c r="J6" s="51" t="inlineStr">
        <is>
          <t>29.08.2026</t>
        </is>
      </c>
    </row>
    <row r="7" ht="48" customHeight="1" s="22">
      <c r="A7" s="49" t="n">
        <v>6</v>
      </c>
      <c r="B7" s="49" t="inlineStr">
        <is>
          <t>1.1</t>
        </is>
      </c>
      <c r="C7" s="49" t="n">
        <v>16</v>
      </c>
      <c r="D7" s="49" t="inlineStr">
        <is>
          <t>Един и същ текст може да бъде използван като справочен материал, като основа за урок или като част от изпитен комплект; учебната му функция се определя не само от съдържанието, но и от начина, по който е поставен в учебния процес.</t>
        </is>
      </c>
      <c r="E7" s="57" t="inlineStr">
        <is>
          <t>Нужен източник — намерен</t>
        </is>
      </c>
      <c r="F7" s="57" t="inlineStr">
        <is>
          <t>[24] IEEE LOM</t>
        </is>
      </c>
      <c r="G7" s="57" t="inlineStr"/>
      <c r="H7" s="57" t="inlineStr">
        <is>
          <t>Стандартът описва учебния обект с елемент „Context“ в образователната категория — тоест контекстът на употреба е част от описанието на ресурса. Това подкрепя твърдението, че функцията се определя и от мястото в учебния процес. Добави [24].</t>
        </is>
      </c>
      <c r="I7" s="57" t="inlineStr">
        <is>
          <t>Claude (авт.)</t>
        </is>
      </c>
      <c r="J7" s="57" t="inlineStr">
        <is>
          <t>29.08.2026</t>
        </is>
      </c>
    </row>
    <row r="8" ht="48" customHeight="1" s="22">
      <c r="A8" s="49" t="n">
        <v>7</v>
      </c>
      <c r="B8" s="49" t="inlineStr">
        <is>
          <t>1.1</t>
        </is>
      </c>
      <c r="C8" s="49" t="n">
        <v>19</v>
      </c>
      <c r="D8" s="49" t="inlineStr">
        <is>
          <t>Систематизацията на видовете има и утвърдена стандартизационна основа.</t>
        </is>
      </c>
      <c r="E8" s="57" t="inlineStr">
        <is>
          <t>Рамка на изложението — не изисква източник</t>
        </is>
      </c>
      <c r="F8" s="57" t="inlineStr"/>
      <c r="G8" s="57" t="inlineStr"/>
      <c r="H8"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8" s="57" t="inlineStr">
        <is>
          <t>Claude (авт.)</t>
        </is>
      </c>
      <c r="J8" s="57" t="inlineStr">
        <is>
          <t>29.08.2026</t>
        </is>
      </c>
    </row>
    <row r="9" ht="48" customHeight="1" s="22">
      <c r="A9" s="49" t="n">
        <v>8</v>
      </c>
      <c r="B9" s="49" t="inlineStr">
        <is>
          <t>1.1</t>
        </is>
      </c>
      <c r="C9" s="49" t="n">
        <v>19</v>
      </c>
      <c r="D9" s="49" t="inlineStr">
        <is>
          <t>В литературата и в стандартите отделната единица електронно съдържание се описва чрез понятието учебен обект — всяка единица, цифрова или не, използвана за учене, образование или обучение.</t>
        </is>
      </c>
      <c r="E9" s="51" t="inlineStr">
        <is>
          <t>Покрито от цитата в същия абзац</t>
        </is>
      </c>
      <c r="F9" s="51" t="inlineStr"/>
      <c r="G9" s="51" t="inlineStr"/>
      <c r="H9"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9" s="51" t="inlineStr">
        <is>
          <t>Claude (авт.)</t>
        </is>
      </c>
      <c r="J9" s="51" t="inlineStr">
        <is>
          <t>29.08.2026</t>
        </is>
      </c>
    </row>
    <row r="10" ht="48" customHeight="1" s="22">
      <c r="A10" s="49" t="n">
        <v>9</v>
      </c>
      <c r="B10" s="49" t="inlineStr">
        <is>
          <t>1.1</t>
        </is>
      </c>
      <c r="C10" s="49" t="n">
        <v>19</v>
      </c>
      <c r="D10" s="49" t="inlineStr">
        <is>
          <t>Съществуването на такъв стандарт показва, че модулността, повторната използваемост и описуемостта на електронното съдържание не са пожелателни качества, а отдавна формализирани характеристики на полето.</t>
        </is>
      </c>
      <c r="E10" s="51" t="inlineStr">
        <is>
          <t>Покрито от цитата в същия абзац</t>
        </is>
      </c>
      <c r="F10" s="51" t="inlineStr"/>
      <c r="G10" s="51" t="inlineStr"/>
      <c r="H10"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10" s="51" t="inlineStr">
        <is>
          <t>Claude (авт.)</t>
        </is>
      </c>
      <c r="J10" s="51" t="inlineStr">
        <is>
          <t>29.08.2026</t>
        </is>
      </c>
    </row>
    <row r="11" ht="48" customHeight="1" s="22">
      <c r="A11" s="49" t="n">
        <v>10</v>
      </c>
      <c r="B11" s="49" t="inlineStr">
        <is>
          <t>1.2</t>
        </is>
      </c>
      <c r="C11" s="49" t="n">
        <v>27</v>
      </c>
      <c r="D11" s="49" t="inlineStr">
        <is>
          <t>Тези изисквания могат да бъдат групирани в пет области: съответствие с учебните цели, структура и организация на изложението, достъпност, интерактивност и пригодност за самостоятелно електронно обучение.</t>
        </is>
      </c>
      <c r="E11" s="51" t="inlineStr">
        <is>
          <t>Преформулиране</t>
        </is>
      </c>
      <c r="F11" s="51" t="inlineStr">
        <is>
          <t>—</t>
        </is>
      </c>
      <c r="G11" s="51" t="inlineStr"/>
      <c r="H11" s="51" t="inlineStr">
        <is>
          <t>„Тези изисквания могат да бъдат групирани“ става „Изведените дотук изисквания са подредени тук в пет области“. Така петте области стават организация на изложението, а не твърдение за литературата. Всяко от изискванията поотделно вече има източник.</t>
        </is>
      </c>
      <c r="I11" s="51" t="inlineStr">
        <is>
          <t>Claude (авт.)</t>
        </is>
      </c>
      <c r="J11" s="51" t="inlineStr">
        <is>
          <t>29.08.2026</t>
        </is>
      </c>
    </row>
    <row r="12" ht="48" customHeight="1" s="22">
      <c r="A12" s="49" t="n">
        <v>11</v>
      </c>
      <c r="B12" s="49" t="inlineStr">
        <is>
          <t>1.2</t>
        </is>
      </c>
      <c r="C12" s="49" t="n">
        <v>32</v>
      </c>
      <c r="D12" s="49" t="inlineStr">
        <is>
          <t>Общата рамка остава една и съща, но тежестта на отделните изисквания се мести — обстоятелство, което всеки модел за оценяване трябва да отчете чрез тълкуване на критериите според вида на материала, а не чрез отделни системи от критерии за всеки вид.</t>
        </is>
      </c>
      <c r="E12" s="51" t="inlineStr">
        <is>
          <t>Премахнато</t>
        </is>
      </c>
      <c r="F12" s="51" t="inlineStr">
        <is>
          <t>—</t>
        </is>
      </c>
      <c r="G12" s="51" t="inlineStr"/>
      <c r="H12" s="51" t="inlineStr">
        <is>
          <t>Втората половина — „обстоятелство, което всеки модел за оценяване трябва да отчете чрез тълкуване на критериите…“ — е предписание към бъдещия модел. Същият тип препратки вече отпаднаха от 1.5. Остава само първата част: рамката е обща, тежестта на изискванията се мести.</t>
        </is>
      </c>
      <c r="I12" s="51" t="inlineStr">
        <is>
          <t>Claude (авт.)</t>
        </is>
      </c>
      <c r="J12" s="51" t="inlineStr">
        <is>
          <t>29.08.2026</t>
        </is>
      </c>
    </row>
    <row r="13" ht="48" customHeight="1" s="22">
      <c r="A13" s="49" t="n">
        <v>12</v>
      </c>
      <c r="B13" s="49" t="inlineStr">
        <is>
          <t>1.2</t>
        </is>
      </c>
      <c r="C13" s="49" t="n">
        <v>33</v>
      </c>
      <c r="D13" s="49" t="inlineStr">
        <is>
          <t>Генерираното съдържание е особено податливо на този дефект по две причини: моделът няма представа за учебното време, а зададеният в заявката обем се спазва приблизително.</t>
        </is>
      </c>
      <c r="E13" s="57" t="inlineStr">
        <is>
          <t>Нужен източник — намерен</t>
        </is>
      </c>
      <c r="F13" s="57" t="inlineStr">
        <is>
          <t>[41] COGENT</t>
        </is>
      </c>
      <c r="G13" s="57" t="inlineStr"/>
      <c r="H13" s="57" t="inlineStr">
        <is>
          <t>COGENT въвежда изрични ограничения върху броя думи и сложността на езика („constraints on word number, vocabulary, and sentence complexity“) точно защото моделите не ги спазват сами. Това подкрепя косвено втората причина. ВНИМАНИЕ: първата причина — „моделът няма представа за учебното време“ — не се подкрепя от нищо и трябва да отпадне.</t>
        </is>
      </c>
      <c r="I13" s="57" t="inlineStr">
        <is>
          <t>Claude (авт.)</t>
        </is>
      </c>
      <c r="J13" s="57" t="inlineStr">
        <is>
          <t>29.08.2026</t>
        </is>
      </c>
    </row>
    <row r="14" ht="48" customHeight="1" s="22">
      <c r="A14" s="49" t="n">
        <v>13</v>
      </c>
      <c r="B14" s="49" t="inlineStr">
        <is>
          <t>1.2</t>
        </is>
      </c>
      <c r="C14" s="49" t="n">
        <v>37</v>
      </c>
      <c r="D14" s="49" t="inlineStr">
        <is>
          <t>Педагогическата ѝ стойност не е в потвърждаването на верния отговор, а в обяснението: защо даден отговор е грешен, каква представа стои зад грешката и как тя се преодолява.</t>
        </is>
      </c>
      <c r="E14" s="57" t="inlineStr">
        <is>
          <t>Нужен източник — намерен</t>
        </is>
      </c>
      <c r="F14" s="57" t="inlineStr">
        <is>
          <t>[42] Wang и кол. 2019</t>
        </is>
      </c>
      <c r="G14" s="57" t="inlineStr"/>
      <c r="H14" s="57" t="inlineStr">
        <is>
          <t>Разгърнатата обратна връзка се дефинира като „additional instructional information of correct responses“, включително обяснения и стъпки за решаване. Добави [42], със същата условност както на ред 14 от Ниво 2.</t>
        </is>
      </c>
      <c r="I14" s="57" t="inlineStr">
        <is>
          <t>Claude (авт.)</t>
        </is>
      </c>
      <c r="J14" s="57" t="inlineStr">
        <is>
          <t>29.08.2026</t>
        </is>
      </c>
    </row>
    <row r="15" ht="48" customHeight="1" s="22">
      <c r="A15" s="49" t="n">
        <v>14</v>
      </c>
      <c r="B15" s="49" t="inlineStr">
        <is>
          <t>1.2</t>
        </is>
      </c>
      <c r="C15" s="49" t="n">
        <v>37</v>
      </c>
      <c r="D15" s="49" t="inlineStr">
        <is>
          <t>В самостоятелното електронно обучение това изискване е още по-строго, тъй като обучаемият няма към кого да се обърне при затруднение — обратната връзка е единственият заместител на преподавателския отговор.</t>
        </is>
      </c>
      <c r="E15" s="51" t="inlineStr">
        <is>
          <t>Премахнато</t>
        </is>
      </c>
      <c r="F15" s="51" t="inlineStr">
        <is>
          <t>—</t>
        </is>
      </c>
      <c r="G15" s="51" t="inlineStr"/>
      <c r="H15" s="51" t="inlineStr">
        <is>
          <t>„Обратната връзка е единственият заместител на преподавателския отговор“ е правдоподобно, но неподкрепено. В НИП отпада. Ако искаш да остане, трябва източник за самостоятелното електронно обучение — нямаме такъв.</t>
        </is>
      </c>
      <c r="I15" s="51" t="inlineStr">
        <is>
          <t>Claude (авт.)</t>
        </is>
      </c>
      <c r="J15" s="51" t="inlineStr">
        <is>
          <t>29.08.2026</t>
        </is>
      </c>
    </row>
    <row r="16" ht="48" customHeight="1" s="22">
      <c r="A16" s="49" t="n">
        <v>15</v>
      </c>
      <c r="B16" s="49" t="inlineStr">
        <is>
          <t>1.2</t>
        </is>
      </c>
      <c r="C16" s="49" t="n">
        <v>39</v>
      </c>
      <c r="D16" s="49" t="inlineStr">
        <is>
          <t>Накрая, пригодността за електронно обучение обобщава спецификата на средата: за разлика от учебните материали, използвани в присъствено обучение, електронното съдържание често функционира без постоянното присъствие на преподавател.</t>
        </is>
      </c>
      <c r="E16" s="51" t="inlineStr">
        <is>
          <t>Покрито от цитата в същия абзац</t>
        </is>
      </c>
      <c r="F16" s="51" t="inlineStr"/>
      <c r="G16" s="51" t="inlineStr"/>
      <c r="H16"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16" s="51" t="inlineStr">
        <is>
          <t>Claude (авт.)</t>
        </is>
      </c>
      <c r="J16" s="51" t="inlineStr">
        <is>
          <t>29.08.2026</t>
        </is>
      </c>
    </row>
    <row r="17" ht="48" customHeight="1" s="22">
      <c r="A17" s="49" t="n">
        <v>16</v>
      </c>
      <c r="B17" s="49" t="inlineStr">
        <is>
          <t>1.2</t>
        </is>
      </c>
      <c r="C17" s="49" t="n">
        <v>40</v>
      </c>
      <c r="D17" s="49" t="inlineStr">
        <is>
          <t>Обобщено, петте области изисквания — съответствие с целите, структура, достъпност, интерактивност и пригодност за самостоятелно обучение — образуват съдържателната основа, върху която ще бъдат изградени критериите за качество.</t>
        </is>
      </c>
      <c r="E17" s="57" t="inlineStr">
        <is>
          <t>Рамка на изложението — не изисква източник</t>
        </is>
      </c>
      <c r="F17" s="57" t="inlineStr"/>
      <c r="G17" s="57" t="inlineStr"/>
      <c r="H17"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17" s="57" t="inlineStr">
        <is>
          <t>Claude (авт.)</t>
        </is>
      </c>
      <c r="J17" s="57" t="inlineStr">
        <is>
          <t>29.08.2026</t>
        </is>
      </c>
    </row>
    <row r="18" ht="48" customHeight="1" s="22">
      <c r="A18" s="49" t="n">
        <v>17</v>
      </c>
      <c r="B18" s="49" t="inlineStr">
        <is>
          <t>1.3</t>
        </is>
      </c>
      <c r="C18" s="49" t="n">
        <v>43</v>
      </c>
      <c r="D18" s="49" t="inlineStr">
        <is>
          <t>Първата е начинът на обработка на текста: моделът не работи с думи, а с по-малки единици, наречени токени, и предсказва следващата единица въз основа на предходните.</t>
        </is>
      </c>
      <c r="E18" s="51" t="inlineStr">
        <is>
          <t>Нужен източник — намерен</t>
        </is>
      </c>
      <c r="F18" s="51" t="inlineStr">
        <is>
          <t>Zhao и кол., A Survey of Large Language Models, arXiv:2303.18223 — „greedy search that predicts the most likely token at</t>
        </is>
      </c>
      <c r="G18" s="51" t="inlineStr">
        <is>
          <t>Zhao и кол., A Survey of Large Language Models, arXiv:2303.18223 — „greedy search that predicts the most likely token at each step based on the previously generated“; раздел за токенизацията.</t>
        </is>
      </c>
      <c r="H18" s="51" t="inlineStr">
        <is>
          <t>НАНЕСЕНО В НИП 29.08 с временен маркер до преномерирането.</t>
        </is>
      </c>
      <c r="I18" s="51" t="inlineStr">
        <is>
          <t>Claude (авт.)</t>
        </is>
      </c>
      <c r="J18" s="51" t="inlineStr">
        <is>
          <t>29.08.2026</t>
        </is>
      </c>
    </row>
    <row r="19" ht="48" customHeight="1" s="22">
      <c r="A19" s="49" t="n">
        <v>18</v>
      </c>
      <c r="B19" s="49" t="inlineStr">
        <is>
          <t>1.3</t>
        </is>
      </c>
      <c r="C19" s="49" t="n">
        <v>43</v>
      </c>
      <c r="D19" s="49" t="inlineStr">
        <is>
          <t>Втората е контекстният прозорец — ограниченият обем текст, който моделът може да отчита едновременно; при по-дълги материали началото на изложението може да влияе по-слабо върху края му, което е една от причините за наблюдаваната терминологична непоследователност в дълги генерирани текстове.</t>
        </is>
      </c>
      <c r="E19" s="51" t="inlineStr">
        <is>
          <t>Нужен източник — намерен</t>
        </is>
      </c>
      <c r="F19" s="51" t="inlineStr">
        <is>
          <t>Liu и кол. 2024, Lost in the Middle, TACL 12, 157–173 — „performance can degrade significantly when changing the positio</t>
        </is>
      </c>
      <c r="G19" s="51" t="inlineStr">
        <is>
          <t>Liu и кол. 2024, Lost in the Middle, TACL 12, 157–173 — „performance can degrade significantly when changing the position of relevant information“.</t>
        </is>
      </c>
      <c r="H19" s="51" t="inlineStr">
        <is>
          <t>НАНЕСЕНО В НИП 29.08 с временен маркер до преномерирането.</t>
        </is>
      </c>
      <c r="I19" s="51" t="inlineStr">
        <is>
          <t>Claude (авт.)</t>
        </is>
      </c>
      <c r="J19" s="51" t="inlineStr">
        <is>
          <t>29.08.2026</t>
        </is>
      </c>
    </row>
    <row r="20" ht="48" customHeight="1" s="22">
      <c r="A20" s="49" t="n">
        <v>19</v>
      </c>
      <c r="B20" s="49" t="inlineStr">
        <is>
          <t>1.3</t>
        </is>
      </c>
      <c r="C20" s="49" t="n">
        <v>43</v>
      </c>
      <c r="D20" s="49" t="inlineStr">
        <is>
          <t>Третата е вероятностният подбор при генерирането: при едни и същи входни данни моделът може да произведе различни изходи, тъй като следващата единица се избира от разпределение, а не еднозначно.</t>
        </is>
      </c>
      <c r="E20" s="51" t="inlineStr">
        <is>
          <t>Нужен източник — намерен</t>
        </is>
      </c>
      <c r="F20" s="51" t="inlineStr">
        <is>
          <t>Zhao и кол., arXiv:2303.18223 — „sampling-based methods will sample the word with higher probability while also retainin</t>
        </is>
      </c>
      <c r="G20" s="51" t="inlineStr">
        <is>
          <t>Zhao и кол., arXiv:2303.18223 — „sampling-based methods will sample the word with higher probability while also retaining the possibilities of selecting the rest words“.</t>
        </is>
      </c>
      <c r="H20" s="51" t="inlineStr">
        <is>
          <t>НАНЕСЕНО В НИП 29.08 с временен маркер до преномерирането.</t>
        </is>
      </c>
      <c r="I20" s="51" t="inlineStr">
        <is>
          <t>Claude (авт.)</t>
        </is>
      </c>
      <c r="J20" s="51" t="inlineStr">
        <is>
          <t>29.08.2026</t>
        </is>
      </c>
    </row>
    <row r="21" ht="48" customHeight="1" s="22">
      <c r="A21" s="49" t="n">
        <v>20</v>
      </c>
      <c r="B21" s="49" t="inlineStr">
        <is>
          <t>1.3</t>
        </is>
      </c>
      <c r="C21" s="49" t="n">
        <v>45</v>
      </c>
      <c r="D21" s="49" t="inlineStr">
        <is>
          <t>В основата на съвременните текстово-генериращи инструменти стоят големите езикови модели — невронни мрежи, обучени върху огромни текстови масиви да предсказват най-вероятното продължение на даден текст.</t>
        </is>
      </c>
      <c r="E21" s="51" t="inlineStr">
        <is>
          <t>Покрито от цитата в същия абзац</t>
        </is>
      </c>
      <c r="F21" s="51" t="inlineStr"/>
      <c r="G21" s="51" t="inlineStr"/>
      <c r="H21"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1" s="51" t="inlineStr">
        <is>
          <t>Claude (авт.)</t>
        </is>
      </c>
      <c r="J21" s="51" t="inlineStr">
        <is>
          <t>29.08.2026</t>
        </is>
      </c>
    </row>
    <row r="22" ht="48" customHeight="1" s="22">
      <c r="A22" s="49" t="n">
        <v>21</v>
      </c>
      <c r="B22" s="49" t="inlineStr">
        <is>
          <t>1.3</t>
        </is>
      </c>
      <c r="C22" s="49" t="n">
        <v>45</v>
      </c>
      <c r="D22" s="49" t="inlineStr">
        <is>
          <t>Принципът на действие обаче остава вероятностен: моделът не извлича проверени факти от база знания, а генерира текст, който е статистически правдоподобен спрямо обучителните данни.</t>
        </is>
      </c>
      <c r="E22" s="51" t="inlineStr">
        <is>
          <t>Покрито от цитата в същия абзац</t>
        </is>
      </c>
      <c r="F22" s="51" t="inlineStr"/>
      <c r="G22" s="51" t="inlineStr"/>
      <c r="H22"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2" s="51" t="inlineStr">
        <is>
          <t>Claude (авт.)</t>
        </is>
      </c>
      <c r="J22" s="51" t="inlineStr">
        <is>
          <t>29.08.2026</t>
        </is>
      </c>
    </row>
    <row r="23" ht="48" customHeight="1" s="22">
      <c r="A23" s="49" t="n">
        <v>22</v>
      </c>
      <c r="B23" s="49" t="inlineStr">
        <is>
          <t>1.3</t>
        </is>
      </c>
      <c r="C23" s="49" t="n">
        <v>46</v>
      </c>
      <c r="D23" s="49" t="inlineStr">
        <is>
          <t>Възможностите, които тези инструменти предлагат на образованието, са документирани в бързо растяща литература.</t>
        </is>
      </c>
      <c r="E23" s="57" t="inlineStr">
        <is>
          <t>Рамка на изложението — не изисква източник</t>
        </is>
      </c>
      <c r="F23" s="57" t="inlineStr"/>
      <c r="G23" s="57" t="inlineStr"/>
      <c r="H23"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23" s="57" t="inlineStr">
        <is>
          <t>Claude (авт.)</t>
        </is>
      </c>
      <c r="J23" s="57" t="inlineStr">
        <is>
          <t>29.08.2026</t>
        </is>
      </c>
    </row>
    <row r="24" ht="48" customHeight="1" s="22">
      <c r="A24" s="49" t="n">
        <v>23</v>
      </c>
      <c r="B24" s="49" t="inlineStr">
        <is>
          <t>1.3</t>
        </is>
      </c>
      <c r="C24" s="49" t="n">
        <v>47</v>
      </c>
      <c r="D24" s="49" t="inlineStr">
        <is>
          <t>Допълнителното обучение върху специализирани данни може да приближи изхода до определен предметен или стилов профил, а извличането на съдържание от външен източник преди генерирането — известно като генериране, обогатено с извличане — привързва отговора към конкретни документи и намалява дела на измислиците.</t>
        </is>
      </c>
      <c r="E24" s="51" t="inlineStr">
        <is>
          <t>Нужен източник — намерен</t>
        </is>
      </c>
      <c r="F24" s="51" t="inlineStr">
        <is>
          <t>Gao и кол., Retrieval-Augmented Generation for LLMs: A Survey, arXiv:2312.10997 — „RAG has emerged as a promising soluti</t>
        </is>
      </c>
      <c r="G24" s="51" t="inlineStr">
        <is>
          <t>Gao и кол., Retrieval-Augmented Generation for LLMs: A Survey, arXiv:2312.10997 — „RAG has emerged as a promising solution by incorporating knowledge from external databases. This enhances the accuracy and credibility of the generation… and allows for continuous knowledge updates and integration of domain-specific information.“</t>
        </is>
      </c>
      <c r="H24" s="51" t="inlineStr">
        <is>
          <t>НАНЕСЕНО В НИП 29.08 с временен маркер до преномерирането.</t>
        </is>
      </c>
      <c r="I24" s="51" t="inlineStr">
        <is>
          <t>Claude (авт.)</t>
        </is>
      </c>
      <c r="J24" s="51" t="inlineStr">
        <is>
          <t>29.08.2026</t>
        </is>
      </c>
    </row>
    <row r="25" ht="48" customHeight="1" s="22">
      <c r="A25" s="49" t="n">
        <v>24</v>
      </c>
      <c r="B25" s="49" t="inlineStr">
        <is>
          <t>1.3</t>
        </is>
      </c>
      <c r="C25" s="49" t="n">
        <v>47</v>
      </c>
      <c r="D25" s="49" t="inlineStr">
        <is>
          <t>И двата подхода обаче изместват проблема, вместо да го премахнат: качеството на изхода става зависимо от качеството и актуалността на подадените данни, а проверката остава необходима, защото моделът продължава да преформулира извлеченото със собствени думи.</t>
        </is>
      </c>
      <c r="E25" s="51" t="inlineStr">
        <is>
          <t>Покрито от цитата в същия абзац</t>
        </is>
      </c>
      <c r="F25" s="51" t="inlineStr"/>
      <c r="G25" s="51" t="inlineStr"/>
      <c r="H25"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5" s="51" t="inlineStr">
        <is>
          <t>Claude (авт.)</t>
        </is>
      </c>
      <c r="J25" s="51" t="inlineStr">
        <is>
          <t>29.08.2026</t>
        </is>
      </c>
    </row>
    <row r="26" ht="48" customHeight="1" s="22">
      <c r="A26" s="49" t="n">
        <v>25</v>
      </c>
      <c r="B26" s="49" t="inlineStr">
        <is>
          <t>1.3</t>
        </is>
      </c>
      <c r="C26" s="49" t="n">
        <v>51</v>
      </c>
      <c r="D26" s="49" t="inlineStr">
        <is>
          <t>При втория човекът задава рамката и одобрява крайния резултат, без да следи междинните стъпки.</t>
        </is>
      </c>
      <c r="E26" s="57" t="inlineStr">
        <is>
          <t>Нужен източник — намерен</t>
        </is>
      </c>
      <c r="F26" s="57" t="inlineStr">
        <is>
          <t>[22] Instructional Agents</t>
        </is>
      </c>
      <c r="G26" s="57" t="inlineStr"/>
      <c r="H26" s="57" t="inlineStr">
        <is>
          <t>Системата дефинира четири режима на човешко участие, сред които „Catalog-Guided“ и „Feedback-Guided“ — тоест човекът задава рамката и одобрява, без да следи всяка стъпка. Добави [22].</t>
        </is>
      </c>
      <c r="I26" s="57" t="inlineStr">
        <is>
          <t>Claude (авт.)</t>
        </is>
      </c>
      <c r="J26" s="57" t="inlineStr">
        <is>
          <t>29.08.2026</t>
        </is>
      </c>
    </row>
    <row r="27" ht="48" customHeight="1" s="22">
      <c r="A27" s="49" t="n">
        <v>26</v>
      </c>
      <c r="B27" s="49" t="inlineStr">
        <is>
          <t>1.3</t>
        </is>
      </c>
      <c r="C27" s="49" t="n">
        <v>54</v>
      </c>
      <c r="D27" s="49" t="inlineStr">
        <is>
          <t>След като са изяснени принципът на действие и границите на генеративните инструменти, следващата стъпка е да се разгледа конкретно как те се използват при разработването на учебни материали — какви подходи, работни процеси и равнища на автоматизация се обособяват в практиката и в литературата.</t>
        </is>
      </c>
      <c r="E27" s="57" t="inlineStr">
        <is>
          <t>Рамка на изложението — не изисква източник</t>
        </is>
      </c>
      <c r="F27" s="57" t="inlineStr"/>
      <c r="G27" s="57" t="inlineStr"/>
      <c r="H27"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27" s="57" t="inlineStr">
        <is>
          <t>Claude (авт.)</t>
        </is>
      </c>
      <c r="J27" s="57" t="inlineStr">
        <is>
          <t>29.08.2026</t>
        </is>
      </c>
    </row>
    <row r="28" ht="48" customHeight="1" s="22">
      <c r="A28" s="49" t="n">
        <v>27</v>
      </c>
      <c r="B28" s="49" t="inlineStr">
        <is>
          <t>1.4</t>
        </is>
      </c>
      <c r="C28" s="49" t="n">
        <v>56</v>
      </c>
      <c r="D28" s="49" t="inlineStr">
        <is>
          <t>Прегледът на литературата показва, че приложенията не са еднородни: те се различават по степента на автоматизация и по мястото, което заема човекът в процеса на създаване.</t>
        </is>
      </c>
      <c r="E28" s="51" t="inlineStr">
        <is>
          <t>Покрито от цитата в същия абзац</t>
        </is>
      </c>
      <c r="F28" s="51" t="inlineStr"/>
      <c r="G28" s="51" t="inlineStr"/>
      <c r="H28"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8" s="51" t="inlineStr">
        <is>
          <t>Claude (авт.)</t>
        </is>
      </c>
      <c r="J28" s="51" t="inlineStr">
        <is>
          <t>29.08.2026</t>
        </is>
      </c>
    </row>
    <row r="29" ht="48" customHeight="1" s="22">
      <c r="A29" s="49" t="n">
        <v>28</v>
      </c>
      <c r="B29" s="49" t="inlineStr">
        <is>
          <t>1.4</t>
        </is>
      </c>
      <c r="C29" s="49" t="n">
        <v>59</v>
      </c>
      <c r="D29" s="49" t="inlineStr">
        <is>
          <t>Такива решения показват накъде води логиката на вграждания контрол: колкото по-специализирана е платформата, толкова по-плътно педагогическите ограничения се вграждат в самото генериране.</t>
        </is>
      </c>
      <c r="E29" s="51" t="inlineStr">
        <is>
          <t>Покрито от цитата в същия абзац</t>
        </is>
      </c>
      <c r="F29" s="51" t="inlineStr"/>
      <c r="G29" s="51" t="inlineStr"/>
      <c r="H29"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9" s="51" t="inlineStr">
        <is>
          <t>Claude (авт.)</t>
        </is>
      </c>
      <c r="J29" s="51" t="inlineStr">
        <is>
          <t>29.08.2026</t>
        </is>
      </c>
    </row>
    <row r="30" ht="48" customHeight="1" s="22">
      <c r="A30" s="49" t="n">
        <v>29</v>
      </c>
      <c r="B30" s="49" t="inlineStr">
        <is>
          <t>1.4</t>
        </is>
      </c>
      <c r="C30" s="49" t="n">
        <v>61</v>
      </c>
      <c r="D30" s="49" t="inlineStr">
        <is>
          <t>Този резултат е показателен в две посоки: потвърждава практическата приложимост на инструментите и едновременно с това илюстрира централния проблем на работата — че възприеманото качество не е свидетелство за действителното.</t>
        </is>
      </c>
      <c r="E30" s="57" t="inlineStr">
        <is>
          <t>Покрито от цитата в същия абзац</t>
        </is>
      </c>
      <c r="F30" s="57" t="inlineStr">
        <is>
          <t>[8]</t>
        </is>
      </c>
      <c r="G30" s="57" t="inlineStr"/>
      <c r="H30" s="57" t="inlineStr">
        <is>
          <t>Изречението тълкува данните от [8], които са цитирани в началото на абзаца. Повтори скобата в края на изречението, за да е ясно, че тълкуването стъпва на същия източник, а не въвежда нов факт.</t>
        </is>
      </c>
      <c r="I30" s="57" t="inlineStr">
        <is>
          <t>Claude (авт.)</t>
        </is>
      </c>
      <c r="J30" s="57" t="inlineStr">
        <is>
          <t>29.08.2026</t>
        </is>
      </c>
    </row>
    <row r="31" ht="48" customHeight="1" s="22">
      <c r="A31" s="49" t="n">
        <v>30</v>
      </c>
      <c r="B31" s="49" t="inlineStr">
        <is>
          <t>1.4</t>
        </is>
      </c>
      <c r="C31" s="49" t="n">
        <v>62</v>
      </c>
      <c r="D31" s="49" t="inlineStr">
        <is>
          <t>Най-подробно документираният български опит с генериране на тестови въпроси илюстрира и трите равнища едновременно.</t>
        </is>
      </c>
      <c r="E31" s="51" t="inlineStr">
        <is>
          <t>Покрито от цитата в същия абзац</t>
        </is>
      </c>
      <c r="F31" s="51" t="inlineStr"/>
      <c r="G31" s="51" t="inlineStr"/>
      <c r="H31"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1" s="51" t="inlineStr">
        <is>
          <t>Claude (авт.)</t>
        </is>
      </c>
      <c r="J31" s="51" t="inlineStr">
        <is>
          <t>29.08.2026</t>
        </is>
      </c>
    </row>
    <row r="32" ht="48" customHeight="1" s="22">
      <c r="A32" s="49" t="n">
        <v>31</v>
      </c>
      <c r="B32" s="49" t="inlineStr">
        <is>
          <t>1.4</t>
        </is>
      </c>
      <c r="C32" s="49" t="n">
        <v>62</v>
      </c>
      <c r="D32" s="49" t="inlineStr">
        <is>
          <t>По-внимателният прочит обаче показва обратното: този дял е постигнат именно защото проверката е вградена като задължителна стъпка, а не защото инструментът произвежда годно съдържание сам по себе си.</t>
        </is>
      </c>
      <c r="E32" s="57" t="inlineStr">
        <is>
          <t>Покрито от цитата в същия абзац</t>
        </is>
      </c>
      <c r="F32" s="57" t="inlineStr">
        <is>
          <t>[2]</t>
        </is>
      </c>
      <c r="G32" s="57" t="inlineStr"/>
      <c r="H32" s="57" t="inlineStr">
        <is>
          <t>Твърдението, че делът е постигнат заради вградената проверка, се подкрепя пряко от [2] — работният процес изисква одобрение от преподавателя преди записване на всеки въпрос. Повтори скобата.</t>
        </is>
      </c>
      <c r="I32" s="57" t="inlineStr">
        <is>
          <t>Claude (авт.)</t>
        </is>
      </c>
      <c r="J32" s="57" t="inlineStr">
        <is>
          <t>29.08.2026</t>
        </is>
      </c>
    </row>
    <row r="33" ht="48" customHeight="1" s="22">
      <c r="A33" s="49" t="n">
        <v>32</v>
      </c>
      <c r="B33" s="49" t="inlineStr">
        <is>
          <t>1.4</t>
        </is>
      </c>
      <c r="C33" s="49" t="n">
        <v>66</v>
      </c>
      <c r="D33" s="49" t="inlineStr">
        <is>
          <t>При рамковите подходи проследимостта е частична: процесът е документиран, но междинните стъпки често не се съхраняват.</t>
        </is>
      </c>
      <c r="E33" s="51" t="inlineStr">
        <is>
          <t>Премахнато</t>
        </is>
      </c>
      <c r="F33" s="51" t="inlineStr">
        <is>
          <t>—</t>
        </is>
      </c>
      <c r="G33" s="51" t="inlineStr"/>
      <c r="H33" s="51" t="inlineStr">
        <is>
          <t>Че при рамковите подходи междинните стъпки „често не се съхраняват“ не се твърди от нито един от проверените източници. GAIDE документира процеса, но не и обратното. Отпада или се свежда до това, което [16] описва.</t>
        </is>
      </c>
      <c r="I33" s="51" t="inlineStr">
        <is>
          <t>Claude (авт.)</t>
        </is>
      </c>
      <c r="J33" s="51" t="inlineStr">
        <is>
          <t>29.08.2026</t>
        </is>
      </c>
    </row>
    <row r="34" ht="48" customHeight="1" s="22">
      <c r="A34" s="49" t="n">
        <v>33</v>
      </c>
      <c r="B34" s="49" t="inlineStr">
        <is>
          <t>1.6</t>
        </is>
      </c>
      <c r="C34" s="49" t="n">
        <v>85</v>
      </c>
      <c r="D34" s="49" t="inlineStr">
        <is>
          <t>На международно равнище очертаните изисквания намират израз в специализираното ръководство на ЮНЕСКО за генеративния изкуствен интелект в образованието и научните изследвания — първият глобален документ от този род.</t>
        </is>
      </c>
      <c r="E34" s="51" t="inlineStr">
        <is>
          <t>Покрито от цитата в същия абзац</t>
        </is>
      </c>
      <c r="F34" s="51" t="inlineStr"/>
      <c r="G34" s="51" t="inlineStr"/>
      <c r="H34"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4" s="51" t="inlineStr">
        <is>
          <t>Claude (авт.)</t>
        </is>
      </c>
      <c r="J34" s="51" t="inlineStr">
        <is>
          <t>29.08.2026</t>
        </is>
      </c>
    </row>
    <row r="35" ht="48" customHeight="1" s="22">
      <c r="A35" s="49" t="n">
        <v>34</v>
      </c>
      <c r="B35" s="49" t="inlineStr">
        <is>
          <t>1.6</t>
        </is>
      </c>
      <c r="C35" s="49" t="n">
        <v>86</v>
      </c>
      <c r="D35" s="49" t="inlineStr">
        <is>
          <t>Същата рамка разграничава допустима от недопустима употреба по ясен критерий — инструментът може да улеснява рутинните операции, но не може да замества интелектуалния труд — и утвърждава принципа на неделимото авторство: авторът носи пълна отговорност за съдържанието независимо от степента на машинно асистиране.</t>
        </is>
      </c>
      <c r="E35" s="51" t="inlineStr">
        <is>
          <t>Покрито от цитата в същия абзац</t>
        </is>
      </c>
      <c r="F35" s="51" t="inlineStr"/>
      <c r="G35" s="51" t="inlineStr"/>
      <c r="H35"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5" s="51" t="inlineStr">
        <is>
          <t>Claude (авт.)</t>
        </is>
      </c>
      <c r="J35" s="51" t="inlineStr">
        <is>
          <t>29.08.2026</t>
        </is>
      </c>
    </row>
    <row r="36" ht="48" customHeight="1" s="22">
      <c r="A36" s="49" t="n">
        <v>35</v>
      </c>
      <c r="B36" s="49" t="inlineStr">
        <is>
          <t>1.6</t>
        </is>
      </c>
      <c r="C36" s="49" t="n">
        <v>87</v>
      </c>
      <c r="D36" s="49" t="inlineStr">
        <is>
          <t>Правната рамка на тези изисквания вече не е само национална или секторна.</t>
        </is>
      </c>
      <c r="E36" s="57" t="inlineStr">
        <is>
          <t>Рамка на изложението — не изисква източник</t>
        </is>
      </c>
      <c r="F36" s="57" t="inlineStr"/>
      <c r="G36" s="57" t="inlineStr"/>
      <c r="H36"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6" s="57" t="inlineStr">
        <is>
          <t>Claude (авт.)</t>
        </is>
      </c>
      <c r="J36" s="57" t="inlineStr">
        <is>
          <t>29.08.2026</t>
        </is>
      </c>
    </row>
    <row r="37" ht="48" customHeight="1" s="22">
      <c r="A37" s="49" t="n">
        <v>36</v>
      </c>
      <c r="B37" s="49" t="inlineStr">
        <is>
          <t>1.6</t>
        </is>
      </c>
      <c r="C37" s="49" t="n">
        <v>87</v>
      </c>
      <c r="D37" s="49" t="inlineStr">
        <is>
          <t>За образователния контекст е показателно, че регламентът причислява към високорисковите определени образователни употреби — системи, които определят достъпа до обучение или оценяват обучаеми — и с това утвърждава принципа, че колкото по-голямо е въздействието върху обучаемия, толкова по-строги са изискванията.</t>
        </is>
      </c>
      <c r="E37" s="51" t="inlineStr">
        <is>
          <t>Покрито от цитата в същия абзац</t>
        </is>
      </c>
      <c r="F37" s="51" t="inlineStr"/>
      <c r="G37" s="51" t="inlineStr"/>
      <c r="H37"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7" s="51" t="inlineStr">
        <is>
          <t>Claude (авт.)</t>
        </is>
      </c>
      <c r="J37" s="51" t="inlineStr">
        <is>
          <t>29.08.2026</t>
        </is>
      </c>
    </row>
    <row r="38" ht="48" customHeight="1" s="22">
      <c r="A38" s="49" t="n">
        <v>37</v>
      </c>
      <c r="B38" s="49" t="inlineStr">
        <is>
          <t>1.6</t>
        </is>
      </c>
      <c r="C38" s="49" t="n">
        <v>88</v>
      </c>
      <c r="D38" s="49" t="inlineStr">
        <is>
          <t>Между европейската правна рамка и практиката на отделния преподавател стои институционалното и националното равнище, което в българския контекст все още се изгражда.</t>
        </is>
      </c>
      <c r="E38" s="57" t="inlineStr">
        <is>
          <t>Рамка на изложението — не изисква източник</t>
        </is>
      </c>
      <c r="F38" s="57" t="inlineStr"/>
      <c r="G38" s="57" t="inlineStr"/>
      <c r="H38"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8" s="57" t="inlineStr">
        <is>
          <t>Claude (авт.)</t>
        </is>
      </c>
      <c r="J38" s="57" t="inlineStr">
        <is>
          <t>29.08.2026</t>
        </is>
      </c>
    </row>
    <row r="39" ht="48" customHeight="1" s="22">
      <c r="A39" s="49" t="n">
        <v>38</v>
      </c>
      <c r="B39" s="49" t="inlineStr">
        <is>
          <t>1.6</t>
        </is>
      </c>
      <c r="C39" s="49" t="n">
        <v>91</v>
      </c>
      <c r="D39" s="49" t="inlineStr">
        <is>
          <t>Четирите групи изисквания очертават нормативната рамка, в която бъдещият модел ще работи: етичната и академичната коректност не са външни съображения, а една от областите, по които качеството на генерираното учебно съдържание подлежи на оценяване.</t>
        </is>
      </c>
      <c r="E39" s="57" t="inlineStr">
        <is>
          <t>Рамка на изложението — не изисква източник</t>
        </is>
      </c>
      <c r="F39" s="57" t="inlineStr"/>
      <c r="G39" s="57" t="inlineStr"/>
      <c r="H39"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9" s="57" t="inlineStr">
        <is>
          <t>Claude (авт.)</t>
        </is>
      </c>
      <c r="J39" s="57" t="inlineStr">
        <is>
          <t>29.08.2026</t>
        </is>
      </c>
    </row>
    <row r="40" ht="48" customHeight="1" s="22">
      <c r="A40" s="49" t="n">
        <v>39</v>
      </c>
      <c r="B40" s="49" t="inlineStr">
        <is>
          <t>1.6</t>
        </is>
      </c>
      <c r="C40" s="49" t="n">
        <v>92</v>
      </c>
      <c r="D40" s="49" t="inlineStr">
        <is>
          <t>Той има две страни: от една страна, доколко материал, произведен от модел, се ползва със закрила, и от друга — доколко създаването му не нарушава правата върху произведенията, с които моделът е обучаван.</t>
        </is>
      </c>
      <c r="E40" s="57" t="inlineStr">
        <is>
          <t>Нужен източник — намерен</t>
        </is>
      </c>
      <c r="F40" s="57" t="inlineStr">
        <is>
          <t>[17] Kasneci и кол.</t>
        </is>
      </c>
      <c r="G40" s="57" t="inlineStr"/>
      <c r="H40" s="57" t="inlineStr">
        <is>
          <t>Втората страна се подкрепя дословно: „the answer may contain a full sentence or even a paragraph seen in the training set, leading to copyright and plagiarism issues“. Първата страна — дали машинно произведен материал се ползва със закрила — НЕ е в източника и изисква правен източник или отпадане.</t>
        </is>
      </c>
      <c r="I40" s="57" t="inlineStr">
        <is>
          <t>Claude (авт.)</t>
        </is>
      </c>
      <c r="J40" s="57" t="inlineStr">
        <is>
          <t>29.08.2026</t>
        </is>
      </c>
    </row>
    <row r="41" ht="48" customHeight="1" s="22">
      <c r="A41" s="49" t="n">
        <v>40</v>
      </c>
      <c r="B41" s="49" t="inlineStr">
        <is>
          <t>1.6</t>
        </is>
      </c>
      <c r="C41" s="49" t="n">
        <v>93</v>
      </c>
      <c r="D41" s="49" t="inlineStr">
        <is>
          <t>В този смисъл моделът за оценяване има и възпитателна функция, надхвърляща прякото си предназначение: той демонстрира на практика какво означава отговорна употреба и може да бъде използван като учебно средство при изграждането на дигитална и етична грамотност у самите обучаеми.</t>
        </is>
      </c>
      <c r="E41" s="57" t="inlineStr">
        <is>
          <t>Рамка на изложението — не изисква източник</t>
        </is>
      </c>
      <c r="F41" s="57" t="inlineStr"/>
      <c r="G41" s="57" t="inlineStr"/>
      <c r="H41"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1" s="57" t="inlineStr">
        <is>
          <t>Claude (авт.)</t>
        </is>
      </c>
      <c r="J41" s="57" t="inlineStr">
        <is>
          <t>29.08.2026</t>
        </is>
      </c>
    </row>
    <row r="42" ht="48" customHeight="1" s="22">
      <c r="A42" s="49" t="n">
        <v>41</v>
      </c>
      <c r="B42" s="49" t="inlineStr">
        <is>
          <t>1.7</t>
        </is>
      </c>
      <c r="C42" s="49" t="n">
        <v>97</v>
      </c>
      <c r="D42" s="49" t="inlineStr">
        <is>
          <t>Най-развитата институционализация на критериално-експертния подход са стандартизираните рубрики за качество на онлайн курсове.</t>
        </is>
      </c>
      <c r="E42" s="51" t="inlineStr">
        <is>
          <t>Покрито от цитата в същия абзац</t>
        </is>
      </c>
      <c r="F42" s="51" t="inlineStr"/>
      <c r="G42" s="51" t="inlineStr"/>
      <c r="H42"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2" s="51" t="inlineStr">
        <is>
          <t>Claude (авт.)</t>
        </is>
      </c>
      <c r="J42" s="51" t="inlineStr">
        <is>
          <t>29.08.2026</t>
        </is>
      </c>
    </row>
    <row r="43" ht="48" customHeight="1" s="22">
      <c r="A43" s="49" t="n">
        <v>42</v>
      </c>
      <c r="B43" s="49" t="inlineStr">
        <is>
          <t>1.7</t>
        </is>
      </c>
      <c r="C43" s="49" t="n">
        <v>98</v>
      </c>
      <c r="D43" s="49" t="inlineStr">
        <is>
          <t>Институционално-акредитационният подход измества фокуса от отделния материал към системата, която го произвежда и използва: оценяват се процесите, ресурсите и стандартите на институцията, предлагаща електронно обучение.</t>
        </is>
      </c>
      <c r="E43" s="51" t="inlineStr">
        <is>
          <t>Покрито от цитата в същия абзац</t>
        </is>
      </c>
      <c r="F43" s="51" t="inlineStr"/>
      <c r="G43" s="51" t="inlineStr"/>
      <c r="H43"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3" s="51" t="inlineStr">
        <is>
          <t>Claude (авт.)</t>
        </is>
      </c>
      <c r="J43" s="51" t="inlineStr">
        <is>
          <t>29.08.2026</t>
        </is>
      </c>
    </row>
    <row r="44" ht="48" customHeight="1" s="22">
      <c r="A44" s="49" t="n">
        <v>43</v>
      </c>
      <c r="B44" s="49" t="inlineStr">
        <is>
          <t>1.7</t>
        </is>
      </c>
      <c r="C44" s="49" t="n">
        <v>105</v>
      </c>
      <c r="D44" s="49" t="inlineStr">
        <is>
          <t>Днес обаче три обстоятелства налагат човешкото оценяване като основен режим: липсата на валидирани данни за надеждност при български учебни текстове, документираните отклонения в преценката на моделите-оценители и принципното съображение, че оценяването на генериран текст от генеративен модел възпроизвежда същия вероятностен механизъм, чиято надеждност се проверява.</t>
        </is>
      </c>
      <c r="E44" s="57" t="inlineStr">
        <is>
          <t>Покрито от цитата в същия абзац</t>
        </is>
      </c>
      <c r="F44" s="57" t="inlineStr">
        <is>
          <t>[15] и [14]</t>
        </is>
      </c>
      <c r="G44" s="57" t="inlineStr"/>
      <c r="H44" s="57" t="inlineStr">
        <is>
          <t>Първите две обстоятелства са вече потвърдени другаде в главата: липсата на валидирани данни е на [15], документираните отклонения — на [14]. Повтори двете скоби. Третото обстоятелство е разсъждение, а не установен факт — обозначи го като съображение.</t>
        </is>
      </c>
      <c r="I44" s="57" t="inlineStr">
        <is>
          <t>Claude (авт.)</t>
        </is>
      </c>
      <c r="J44" s="57" t="inlineStr">
        <is>
          <t>29.08.2026</t>
        </is>
      </c>
    </row>
    <row r="45" ht="48" customHeight="1" s="22">
      <c r="A45" s="49" t="n">
        <v>44</v>
      </c>
      <c r="B45" s="49" t="inlineStr">
        <is>
          <t>1.7</t>
        </is>
      </c>
      <c r="C45" s="49" t="n">
        <v>106</v>
      </c>
      <c r="D45" s="49" t="inlineStr">
        <is>
          <t>Това потвърждава както актуалността на темата в българския контекст, така и избраната посока — модел, който структурира човешката експертна преценка, вместо да я автоматизира.</t>
        </is>
      </c>
      <c r="E45" s="51" t="inlineStr">
        <is>
          <t>Покрито от цитата в същия абзац</t>
        </is>
      </c>
      <c r="F45" s="51" t="inlineStr"/>
      <c r="G45" s="51" t="inlineStr"/>
      <c r="H45"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5" s="51" t="inlineStr">
        <is>
          <t>Claude (авт.)</t>
        </is>
      </c>
      <c r="J45" s="51" t="inlineStr">
        <is>
          <t>29.08.2026</t>
        </is>
      </c>
    </row>
    <row r="46" ht="48" customHeight="1" s="22">
      <c r="A46" s="49" t="n">
        <v>45</v>
      </c>
      <c r="B46" s="49" t="inlineStr">
        <is>
          <t>1.7</t>
        </is>
      </c>
      <c r="C46" s="49" t="n">
        <v>108</v>
      </c>
      <c r="D46" s="49" t="inlineStr">
        <is>
          <t>Критериалните листи по правило не съдържат проверка за фактически измислици, защото при добросъвестен човешки автор такава проверка е излишна; акредитационните стандарти предполагат отговорен автор с установима квалификация; емпиричното оценяване настъпва твърде късно, за да улови дефекти, които могат да бъдат предотвратени на входа.</t>
        </is>
      </c>
      <c r="E46" s="51" t="inlineStr">
        <is>
          <t>Преформулиране</t>
        </is>
      </c>
      <c r="F46" s="51" t="inlineStr">
        <is>
          <t>—</t>
        </is>
      </c>
      <c r="G46" s="51" t="inlineStr"/>
      <c r="H46" s="51" t="inlineStr">
        <is>
          <t>Твърдението е отрицателно — какво НЕ съдържат инструментите. Такова твърдение изисква преглед на самите инструменти. Преформулирай на „в прегледаните инструменти не се среща отделен показател за фактическа достоверност“, което е проверимо наблюдение върху [32], вместо общо твърдение за всички критериални листи.</t>
        </is>
      </c>
      <c r="I46" s="51" t="inlineStr">
        <is>
          <t>Claude (авт.)</t>
        </is>
      </c>
      <c r="J46" s="51" t="inlineStr">
        <is>
          <t>29.08.2026</t>
        </is>
      </c>
    </row>
    <row r="47" ht="48" customHeight="1" s="22">
      <c r="A47" s="49" t="n">
        <v>46</v>
      </c>
      <c r="B47" s="49" t="inlineStr">
        <is>
          <t>1.7</t>
        </is>
      </c>
      <c r="C47" s="49" t="n">
        <v>109</v>
      </c>
      <c r="D47" s="49" t="inlineStr">
        <is>
          <t>Оттук следва изводът, който задава програмата на следващия етап: съществуващата традиция в оценяването предоставя ценна основа — критериалната форма, педагогическата съдържателна база, институционалната рамка — но не и готов инструмент за оценяване на съдържание, създадено с генеративни инструменти.</t>
        </is>
      </c>
      <c r="E47" s="57" t="inlineStr">
        <is>
          <t>Рамка на изложението — не изисква източник</t>
        </is>
      </c>
      <c r="F47" s="57" t="inlineStr"/>
      <c r="G47" s="57" t="inlineStr"/>
      <c r="H47"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7" s="57" t="inlineStr">
        <is>
          <t>Claude (авт.)</t>
        </is>
      </c>
      <c r="J47" s="57" t="inlineStr">
        <is>
          <t>29.08.2026</t>
        </is>
      </c>
    </row>
    <row r="48" ht="48" customHeight="1" s="22">
      <c r="A48" s="49" t="n">
        <v>47</v>
      </c>
      <c r="B48" s="49" t="inlineStr">
        <is>
          <t>Изводи</t>
        </is>
      </c>
      <c r="C48" s="49" t="n">
        <v>113</v>
      </c>
      <c r="D48" s="49" t="inlineStr">
        <is>
          <t>В тази дефиниционна рамка съдържанието, създадено с генеративни инструменти, не представлява нов вид — то възпроизвежда познатите видове електронни ресурси, но с принципно различен процес на създаване и с различен профил на рисковете за качеството.</t>
        </is>
      </c>
      <c r="E48" s="57" t="inlineStr">
        <is>
          <t>Рамка на изложението — не изисква източник</t>
        </is>
      </c>
      <c r="F48" s="57" t="inlineStr"/>
      <c r="G48" s="57" t="inlineStr"/>
      <c r="H48"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8" s="57" t="inlineStr">
        <is>
          <t>Claude (авт.)</t>
        </is>
      </c>
      <c r="J48" s="57" t="inlineStr">
        <is>
          <t>29.08.2026</t>
        </is>
      </c>
    </row>
    <row r="49" ht="48" customHeight="1" s="22">
      <c r="A49" s="49" t="n">
        <v>48</v>
      </c>
      <c r="B49" s="49" t="inlineStr">
        <is>
          <t>Изводи</t>
        </is>
      </c>
      <c r="C49" s="49" t="n">
        <v>114</v>
      </c>
      <c r="D49" s="49" t="inlineStr">
        <is>
          <t>Второ, педагогическите изисквания към електронното учебно съдържание — съответствие с учебните цели, издържана структура, достъпност, педагогически смислена интерактивност и пригодност за самостоятелно обучение — са формулирани независимо от начина на създаване и затова важат в пълна степен и за генерираното съдържание.</t>
        </is>
      </c>
      <c r="E49" s="57" t="inlineStr">
        <is>
          <t>Рамка на изложението — не изисква източник</t>
        </is>
      </c>
      <c r="F49" s="57" t="inlineStr"/>
      <c r="G49" s="57" t="inlineStr"/>
      <c r="H49"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9" s="57" t="inlineStr">
        <is>
          <t>Claude (авт.)</t>
        </is>
      </c>
      <c r="J49" s="57" t="inlineStr">
        <is>
          <t>29.08.2026</t>
        </is>
      </c>
    </row>
    <row r="50" ht="48" customHeight="1" s="22">
      <c r="A50" s="49" t="n">
        <v>49</v>
      </c>
      <c r="B50" s="49" t="inlineStr">
        <is>
          <t>Изводи</t>
        </is>
      </c>
      <c r="C50" s="49" t="n">
        <v>118</v>
      </c>
      <c r="D50" s="49" t="inlineStr">
        <is>
          <t>Шесто, прегледът на съществуващите подходи показва и какво следва да бъде запазено от тях.</t>
        </is>
      </c>
      <c r="E50" s="57" t="inlineStr">
        <is>
          <t>Рамка на изложението — не изисква източник</t>
        </is>
      </c>
      <c r="F50" s="57" t="inlineStr"/>
      <c r="G50" s="57" t="inlineStr"/>
      <c r="H50"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50" s="57" t="inlineStr">
        <is>
          <t>Claude (авт.)</t>
        </is>
      </c>
      <c r="J50" s="57" t="inlineStr">
        <is>
          <t>29.08.2026</t>
        </is>
      </c>
    </row>
    <row r="51" ht="48" customHeight="1" s="22">
      <c r="A51" s="49" t="n">
        <v>50</v>
      </c>
      <c r="B51" s="49" t="inlineStr">
        <is>
          <t>Изводи</t>
        </is>
      </c>
      <c r="C51" s="49" t="n">
        <v>118</v>
      </c>
      <c r="D51" s="49" t="inlineStr">
        <is>
          <t>Критериалната форма — йерархия от области, критерии и проверими показатели — е доказала приложимостта си в утвърдени инструменти за оценяване на онлайн курсове; педагогическата съдържателна основа е налична в доказателствено обоснованите принципи на мултимедийното учене и в първите принципи на обучението; а институционалната рамка осигурява средата, в която оценяването може да бъде въведено като задължителна практика.</t>
        </is>
      </c>
      <c r="E51" s="57" t="inlineStr">
        <is>
          <t>Покрито от цитата в същия абзац</t>
        </is>
      </c>
      <c r="F51" s="57" t="inlineStr">
        <is>
          <t>[32], [33], [29]</t>
        </is>
      </c>
      <c r="G51" s="57" t="inlineStr"/>
      <c r="H51" s="57" t="inlineStr">
        <is>
          <t>И трите части на изречението вече имат източници другаде в главата: критериалната форма — [32], принципите на мултимедийното учене — [33], първите принципи — [29]. Повтори скобите в изводите.</t>
        </is>
      </c>
      <c r="I51" s="57" t="inlineStr">
        <is>
          <t>Claude (авт.)</t>
        </is>
      </c>
      <c r="J51" s="57" t="inlineStr">
        <is>
          <t>29.08.2026</t>
        </is>
      </c>
    </row>
    <row r="52" ht="120" customHeight="1" s="22">
      <c r="A52" s="65" t="n">
        <v>51</v>
      </c>
      <c r="B52" s="65" t="inlineStr">
        <is>
          <t>1.2</t>
        </is>
      </c>
      <c r="C52" s="65" t="inlineStr">
        <is>
          <t>53</t>
        </is>
      </c>
      <c r="D52" s="65" t="inlineStr">
        <is>
          <t>Петте области изисквания не се прилагат с еднаква тежест към всеки вид съдържание… Затова оценяването трябва да предвижда изрична стойност „неприложимо“…</t>
        </is>
      </c>
      <c r="E52" s="65" t="inlineStr">
        <is>
          <t>Пренаписан и изрично обозначен като решение на разработката</t>
        </is>
      </c>
      <c r="F52" s="65" t="inlineStr">
        <is>
          <t>— (не се твърди факт за света)</t>
        </is>
      </c>
      <c r="G52" s="65" t="inlineStr">
        <is>
          <t>—</t>
        </is>
      </c>
      <c r="H52" s="65" t="inlineStr">
        <is>
          <t>Предишната редакция твърдеше кои изисквания са „водещи“ при електронен урок, при тестови въпроси и при указания за самоподготовка — три емпирични твърдения без нито един източник. Пренаписан на 31.08.2026: остава само аналитичното наблюдение, че част от изискванията нямат предмет при даден вид материал, и изричното обозначение, че разпределението е решение на настоящата работа, операционализирано чрез стойността „неприложимо“ в модела от трета глава.</t>
        </is>
      </c>
      <c r="I52" s="65" t="inlineStr">
        <is>
          <t>Claude (авт.)</t>
        </is>
      </c>
      <c r="J52" s="65" t="inlineStr">
        <is>
          <t>31.08.2026</t>
        </is>
      </c>
    </row>
    <row r="53" ht="110" customHeight="1" s="22">
      <c r="A53" s="65" t="n">
        <v>52</v>
      </c>
      <c r="B53" s="65" t="inlineStr">
        <is>
          <t>1.2</t>
        </is>
      </c>
      <c r="C53" s="65" t="inlineStr">
        <is>
          <t>54 (МТ) / 33 (НИП)</t>
        </is>
      </c>
      <c r="D53" s="65" t="inlineStr">
        <is>
          <t>Обемът на материала спрямо отделеното за него учебно време; материал, замислен за едно занятие, но написан с обем за три, е неизползваем в предвидената форма.</t>
        </is>
      </c>
      <c r="E53" s="65" t="inlineStr">
        <is>
          <t>Абзацът е премахнат</t>
        </is>
      </c>
      <c r="F53" s="65" t="inlineStr">
        <is>
          <t>— (не се твърди факт за света)</t>
        </is>
      </c>
      <c r="G53" s="65" t="inlineStr">
        <is>
          <t>—</t>
        </is>
      </c>
      <c r="H53" s="65" t="inlineStr">
        <is>
          <t>Няма източник за несъразмерността обем/учебно време, а показателят противоречи на т. 3.3 (П14 мери обема спрямо ЗАЯВЕНИЯ обем, а преобразуването в учебно време изрично не влиза в модела). Абзацът е премахнат, вместо да се пренаписва.</t>
        </is>
      </c>
      <c r="I53" s="65" t="inlineStr">
        <is>
          <t>Claude (авт.)</t>
        </is>
      </c>
      <c r="J53" s="65" t="inlineStr">
        <is>
          <t>31.08.2026</t>
        </is>
      </c>
    </row>
  </sheetData>
  <autoFilter ref="A1:J51"/>
  <dataValidations count="2">
    <dataValidation sqref="E2:E51" showDropDown="0" showInputMessage="0" showErrorMessage="0" allowBlank="1" type="list">
      <formula1>"За преценка,Авторски извод — не изисква източник,Нужен източник — намерен,Нужен източник — не е намерен,Пренаписано,Премахнато"</formula1>
    </dataValidation>
    <dataValidation sqref="E2:E51" showDropDown="0" showInputMessage="0" showErrorMessage="0" allowBlank="1" type="list">
      <formula1>"Рамка на изложението — не изисква източник,Покрито от цитата в същия абзац,ИЗИСКВА РЕШЕНИЕ — нецитирано твърдение за света,Нужен източник — намерен,Нужен източник — не е намерен,Пренаписано,Премахнато"</formula1>
    </dataValidation>
  </dataValidations>
  <pageMargins left="0.75" right="0.75" top="1" bottom="1" header="0.5" footer="0.5"/>
</worksheet>
</file>

<file path=xl/worksheets/sheet8.xml><?xml version="1.0" encoding="utf-8"?>
<worksheet xmlns="http://schemas.openxmlformats.org/spreadsheetml/2006/main">
  <sheetPr filterMode="0">
    <outlinePr summaryBelow="1" summaryRight="1"/>
    <pageSetUpPr fitToPage="0"/>
  </sheetPr>
  <dimension ref="B2:D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 customWidth="1" style="21" min="1" max="1"/>
    <col width="34" customWidth="1" style="21" min="2" max="2"/>
    <col width="12" customWidth="1" style="21" min="3" max="3"/>
    <col width="10" customWidth="1" style="21" min="4" max="4"/>
  </cols>
  <sheetData>
    <row r="2" ht="15.75" customHeight="1" s="22">
      <c r="B2" s="40" t="inlineStr">
        <is>
          <t>Ход на проверката</t>
        </is>
      </c>
    </row>
    <row r="4" ht="15" customHeight="1" s="22">
      <c r="B4" s="41" t="inlineStr">
        <is>
          <t>Ниво 1 — библиографски записи</t>
        </is>
      </c>
    </row>
    <row r="5" ht="15" customHeight="1" s="22">
      <c r="B5" s="42" t="inlineStr">
        <is>
          <t>Непроверено</t>
        </is>
      </c>
      <c r="C5" s="42">
        <f>COUNTIF('Ниво 1 Източници'!$K$2:$K$37,B5)</f>
        <v/>
      </c>
    </row>
    <row r="6" ht="15" customHeight="1" s="22">
      <c r="B6" s="42" t="inlineStr">
        <is>
          <t>Потвърдено</t>
        </is>
      </c>
      <c r="C6" s="42">
        <f>COUNTIF('Ниво 1 Източници'!$K$2:$K$37,B6)</f>
        <v/>
      </c>
    </row>
    <row r="7" ht="15" customHeight="1" s="22">
      <c r="B7" s="42" t="inlineStr">
        <is>
          <t>Частично потвърдено</t>
        </is>
      </c>
      <c r="C7" s="42">
        <f>COUNTIF('Ниво 1 Източници'!$K$2:$K$37,B7)</f>
        <v/>
      </c>
    </row>
    <row r="8" ht="15" customHeight="1" s="22">
      <c r="B8" s="42" t="inlineStr">
        <is>
          <t>Не се потвърждава</t>
        </is>
      </c>
      <c r="C8" s="42">
        <f>COUNTIF('Ниво 1 Източници'!$K$2:$K$37,B8)</f>
        <v/>
      </c>
    </row>
    <row r="9" ht="15" customHeight="1" s="22">
      <c r="B9" s="42" t="inlineStr">
        <is>
          <t>Източникът не е намерен</t>
        </is>
      </c>
      <c r="C9" s="42">
        <f>COUNTIF('Ниво 1 Източници'!$K$2:$K$37,B9)</f>
        <v/>
      </c>
    </row>
    <row r="10" ht="15" customHeight="1" s="22">
      <c r="B10" s="42" t="inlineStr">
        <is>
          <t>Няма достъп — за ръчна проверка</t>
        </is>
      </c>
      <c r="C10" s="42">
        <f>COUNTIF('Ниво 1 Източници'!$K$2:$K$37,B10)</f>
        <v/>
      </c>
    </row>
    <row r="11" ht="15" customHeight="1" s="22">
      <c r="B11" s="41" t="inlineStr">
        <is>
          <t>Готовност</t>
        </is>
      </c>
      <c r="C11" s="43">
        <f>(C6+C7)/36</f>
        <v/>
      </c>
    </row>
    <row r="12" ht="15" customHeight="1" s="22">
      <c r="B12" s="41" t="inlineStr">
        <is>
          <t>Ниво 2 — твърдения</t>
        </is>
      </c>
    </row>
    <row r="13" ht="15" customHeight="1" s="22">
      <c r="B13" s="42" t="inlineStr">
        <is>
          <t>Непроверено</t>
        </is>
      </c>
      <c r="C13" s="42">
        <f>COUNTIF('Ниво 2 Твърдения'!$I$2:$I$65,B13)</f>
        <v/>
      </c>
    </row>
    <row r="14" ht="15" customHeight="1" s="22">
      <c r="B14" s="42" t="inlineStr">
        <is>
          <t>Потвърдено</t>
        </is>
      </c>
      <c r="C14" s="42">
        <f>COUNTIF('Ниво 2 Твърдения'!$I$2:$I$65,B14)</f>
        <v/>
      </c>
    </row>
    <row r="15" ht="15" customHeight="1" s="22">
      <c r="B15" s="42" t="inlineStr">
        <is>
          <t>Частично потвърдено</t>
        </is>
      </c>
      <c r="C15" s="42">
        <f>COUNTIF('Ниво 2 Твърдения'!$I$2:$I$65,B15)</f>
        <v/>
      </c>
    </row>
    <row r="16" ht="15" customHeight="1" s="22">
      <c r="B16" s="42" t="inlineStr">
        <is>
          <t>Не се потвърждава</t>
        </is>
      </c>
      <c r="C16" s="42">
        <f>COUNTIF('Ниво 2 Твърдения'!$I$2:$I$65,B16)</f>
        <v/>
      </c>
    </row>
    <row r="17" ht="15" customHeight="1" s="22">
      <c r="B17" s="42" t="inlineStr">
        <is>
          <t>Източникът не е намерен</t>
        </is>
      </c>
      <c r="C17" s="42">
        <f>COUNTIF('Ниво 2 Твърдения'!$I$2:$I$65,B17)</f>
        <v/>
      </c>
    </row>
    <row r="18" ht="15" customHeight="1" s="22">
      <c r="B18" s="42" t="inlineStr">
        <is>
          <t>Няма достъп — за ръчна проверка</t>
        </is>
      </c>
      <c r="C18" s="42">
        <f>COUNTIF('Ниво 2 Твърдения'!$I$2:$I$65,B18)</f>
        <v/>
      </c>
    </row>
    <row r="19" ht="15" customHeight="1" s="22">
      <c r="B19" s="41" t="inlineStr">
        <is>
          <t>Готовност</t>
        </is>
      </c>
      <c r="C19" s="43">
        <f>(C14+C15)/64</f>
        <v/>
      </c>
    </row>
    <row r="21" ht="15" customHeight="1" s="22">
      <c r="B21" s="41" t="inlineStr">
        <is>
          <t>Ниво 2 по приоритет (остават непроверени)</t>
        </is>
      </c>
      <c r="D21" s="44" t="inlineStr">
        <is>
          <t>от общо</t>
        </is>
      </c>
    </row>
    <row r="22" ht="15" customHeight="1" s="22">
      <c r="B22" s="42" t="inlineStr">
        <is>
          <t>Критичен</t>
        </is>
      </c>
      <c r="C22" s="42">
        <f>COUNTIFS('Ниво 2 Твърдения'!$H$2:$H$65,B22,'Ниво 2 Твърдения'!$I$2:$I$65,"Непроверено")</f>
        <v/>
      </c>
      <c r="D22" s="42">
        <f>COUNTIF('Ниво 2 Твърдения'!$H$2:$H$65,B22)</f>
        <v/>
      </c>
    </row>
    <row r="23" ht="15" customHeight="1" s="22">
      <c r="B23" s="42" t="inlineStr">
        <is>
          <t>Висок</t>
        </is>
      </c>
      <c r="C23" s="42">
        <f>COUNTIFS('Ниво 2 Твърдения'!$H$2:$H$65,B23,'Ниво 2 Твърдения'!$I$2:$I$65,"Непроверено")</f>
        <v/>
      </c>
      <c r="D23" s="42">
        <f>COUNTIF('Ниво 2 Твърдения'!$H$2:$H$65,B23)</f>
        <v/>
      </c>
    </row>
    <row r="24" ht="15" customHeight="1" s="22">
      <c r="B24" s="42" t="inlineStr">
        <is>
          <t>Среден</t>
        </is>
      </c>
      <c r="C24" s="42">
        <f>COUNTIFS('Ниво 2 Твърдения'!$H$2:$H$65,B24,'Ниво 2 Твърдения'!$I$2:$I$65,"Непроверено")</f>
        <v/>
      </c>
      <c r="D24" s="42">
        <f>COUNTIF('Ниво 2 Твърдения'!$H$2:$H$65,B24)</f>
        <v/>
      </c>
    </row>
    <row r="25" ht="15" customHeight="1" s="22">
      <c r="B25" s="42" t="inlineStr">
        <is>
          <t>Нисък</t>
        </is>
      </c>
      <c r="C25" s="42">
        <f>COUNTIFS('Ниво 2 Твърдения'!$H$2:$H$65,B25,'Ниво 2 Твърдения'!$I$2:$I$65,"Непроверено")</f>
        <v/>
      </c>
      <c r="D25" s="42">
        <f>COUNTIF('Ниво 2 Твърдения'!$H$2:$H$65,B25)</f>
        <v/>
      </c>
    </row>
    <row r="26">
      <c r="B26" s="52" t="inlineStr">
        <is>
          <t>Ниво 3 — нецитирани твърдения</t>
        </is>
      </c>
    </row>
    <row r="27">
      <c r="B27" s="53" t="inlineStr">
        <is>
          <t>Рамка — не изисква източник</t>
        </is>
      </c>
      <c r="C27" s="53" t="n">
        <v>14</v>
      </c>
    </row>
    <row r="28">
      <c r="B28" s="53" t="inlineStr">
        <is>
          <t>Покрито от съседен цитат</t>
        </is>
      </c>
      <c r="C28" s="53" t="n">
        <v>17</v>
      </c>
    </row>
    <row r="29">
      <c r="B29" s="53" t="inlineStr">
        <is>
          <t>ИЗИСКВА РЕШЕНИЕ</t>
        </is>
      </c>
      <c r="C29" s="53" t="n">
        <v>15</v>
      </c>
    </row>
    <row r="30">
      <c r="B30" s="53" t="inlineStr">
        <is>
          <t>Източник вече намерен</t>
        </is>
      </c>
      <c r="C30" s="53"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outlineLevelCol="0"/>
  <cols>
    <col width="6" customWidth="1" style="22" min="1" max="1"/>
    <col width="85" customWidth="1" style="22" min="2" max="2"/>
    <col width="20" customWidth="1" style="22" min="3" max="3"/>
    <col width="26" customWidth="1" style="22" min="4" max="4"/>
    <col width="11" customWidth="1" style="22" min="5" max="5"/>
    <col width="9" customWidth="1" style="22" min="6" max="6"/>
    <col width="22" customWidth="1" style="22" min="7" max="7"/>
    <col width="34" customWidth="1" style="22" min="8" max="8"/>
    <col width="60" customWidth="1" style="22" min="9" max="9"/>
    <col width="48" customWidth="1" style="22" min="10" max="10"/>
    <col width="13" customWidth="1" style="22" min="11" max="11"/>
    <col width="11" customWidth="1" style="22" min="12" max="12"/>
  </cols>
  <sheetData>
    <row r="1">
      <c r="A1" s="62" t="inlineStr">
        <is>
          <t>№</t>
        </is>
      </c>
      <c r="B1" s="62" t="inlineStr">
        <is>
          <t>Библиографски запис</t>
        </is>
      </c>
      <c r="C1" s="62" t="inlineStr">
        <is>
          <t>Тип</t>
        </is>
      </c>
      <c r="D1" s="62" t="inlineStr">
        <is>
          <t>Как се проверява</t>
        </is>
      </c>
      <c r="E1" s="62" t="inlineStr">
        <is>
          <t>Риск</t>
        </is>
      </c>
      <c r="F1" s="62" t="inlineStr">
        <is>
          <t>Брой твърдения</t>
        </is>
      </c>
      <c r="G1" s="62" t="inlineStr">
        <is>
          <t>Статус</t>
        </is>
      </c>
      <c r="H1" s="62" t="inlineStr">
        <is>
          <t>Линк</t>
        </is>
      </c>
      <c r="I1" s="62" t="inlineStr">
        <is>
          <t>Извадка</t>
        </is>
      </c>
      <c r="J1" s="62" t="inlineStr">
        <is>
          <t>Бележка</t>
        </is>
      </c>
      <c r="K1" s="62" t="inlineStr">
        <is>
          <t>Проверил</t>
        </is>
      </c>
      <c r="L1" s="62" t="inlineStr">
        <is>
          <t>Дата</t>
        </is>
      </c>
    </row>
    <row r="2" ht="44" customHeight="1" s="22">
      <c r="A2" s="49" t="n">
        <v>13</v>
      </c>
      <c r="B2" s="49" t="inlineStr">
        <is>
          <t>Angular Team, "Angular versioning and releases," Angular Documentation, 2026. [Online]. Available: https://angular.dev/reference/releases</t>
        </is>
      </c>
      <c r="C2" s="49" t="inlineStr">
        <is>
          <t>Вендорска документация</t>
        </is>
      </c>
      <c r="D2" s="49" t="inlineStr">
        <is>
          <t>angular.dev — отваряне на раздела</t>
        </is>
      </c>
      <c r="E2" s="49" t="inlineStr">
        <is>
          <t>Критичен</t>
        </is>
      </c>
      <c r="F2" s="49" t="n">
        <v>2</v>
      </c>
      <c r="G2" s="57" t="inlineStr">
        <is>
          <t>Потвърдено</t>
        </is>
      </c>
      <c r="H2" s="60" t="inlineStr">
        <is>
          <t>https://angular.dev/reference/releases</t>
        </is>
      </c>
      <c r="I2" s="57" t="inlineStr">
        <is>
          <t>„Until Angular v22, Angular had a 6-month major release cycle, with 1-3 minor releases for each major release“; „A major release every 12 months“ с „4-6 minor releases“; поддръжка 24 месеца (12 активна + 12 LTS); „Deprecated API remain available through their deprecated phase, which lasts a minimum one major version (approximately one year).“</t>
        </is>
      </c>
      <c r="J2" s="57" t="inlineStr">
        <is>
          <t>Тук употребата е коректна: твърдението е ЗА Angular, а не обобщение за софтуерните рамки изобщо. Вендорската документация е първоизточник за собствената си политика. ЕДНА КОРЕКЦИЯ: текстът казва „четири до шест междинни“ за новия цикъл — вярно; но за стария казва шестмесечен цикъл, а източникът уточнява „with 1-3 minor releases“ за него.</t>
        </is>
      </c>
      <c r="K2" s="57" t="inlineStr">
        <is>
          <t>Claude (авт.)</t>
        </is>
      </c>
      <c r="L2" s="57" t="inlineStr">
        <is>
          <t>29.08.2026</t>
        </is>
      </c>
    </row>
    <row r="3" ht="44" customHeight="1" s="22">
      <c r="A3" s="49" t="n">
        <v>15</v>
      </c>
      <c r="B3" s="49" t="inlineStr">
        <is>
          <t>CAST, Universal Design for Learning Guidelines, version 3.0. Lynnfield, MA, USA: CAST, 2024. [Online]. Available: https://udlguidelines.cast.org</t>
        </is>
      </c>
      <c r="C3" s="49" t="inlineStr">
        <is>
          <t>Рамка/насоки</t>
        </is>
      </c>
      <c r="D3" s="49" t="inlineStr">
        <is>
          <t>cast.org — UDL Guidelines 3.0</t>
        </is>
      </c>
      <c r="E3" s="49" t="inlineStr">
        <is>
          <t>Нисък</t>
        </is>
      </c>
      <c r="F3" s="49" t="n">
        <v>1</v>
      </c>
      <c r="G3" s="57" t="inlineStr">
        <is>
          <t>Потвърдено</t>
        </is>
      </c>
      <c r="H3" s="60" t="inlineStr">
        <is>
          <t>https://udlguidelines.cast.org/</t>
        </is>
      </c>
      <c r="I3" s="57" t="inlineStr">
        <is>
          <t>Трите принципа на UDL 3.0: „Design Multiple Means of Engagement“, „Design Multiple Means of Representation“, „Design Multiple Means of Action &amp; Expression“. Издание 3.0 на CAST, 30 юли 2024 г.</t>
        </is>
      </c>
      <c r="J3" s="57" t="inlineStr">
        <is>
          <t>Потвърдено точно, включително годината и издателя.</t>
        </is>
      </c>
      <c r="K3" s="57" t="inlineStr">
        <is>
          <t>Claude (авт.)</t>
        </is>
      </c>
      <c r="L3" s="57" t="inlineStr">
        <is>
          <t>29.08.2026</t>
        </is>
      </c>
    </row>
    <row r="4" ht="44" customHeight="1" s="22">
      <c r="A4" s="49" t="n">
        <v>22</v>
      </c>
      <c r="B4" s="49" t="inlineStr">
        <is>
          <t>G. Kurdi, J. Leo, B. Parsia, U. Sattler, and S. Al-Emari, "A systematic review of automatic question generation for educational purposes," International Journal of Artificial Intelligence in Education, vol. 30, no. 1, pp. 121–204, 2020, doi: 10.1007/s40593-019-00186-y.</t>
        </is>
      </c>
      <c r="C4" s="49" t="inlineStr">
        <is>
          <t>Систематичен преглед</t>
        </is>
      </c>
      <c r="D4" s="49" t="inlineStr">
        <is>
          <t>DOI / издател</t>
        </is>
      </c>
      <c r="E4" s="49" t="inlineStr">
        <is>
          <t>Среден</t>
        </is>
      </c>
      <c r="F4" s="49" t="n">
        <v>1</v>
      </c>
      <c r="G4" s="57" t="inlineStr">
        <is>
          <t>Потвърдено</t>
        </is>
      </c>
      <c r="H4" s="60" t="inlineStr">
        <is>
          <t>https://link.springer.com/article/10.1007/s40593-019-00186-y</t>
        </is>
      </c>
      <c r="I4" s="57" t="inlineStr">
        <is>
          <t>Kurdi, Leo, Parsia, Sattler и Al-E‘mari, International Journal of Artificial Intelligence in Education, т. 30, кн. 1, с. 121–204, 2019. Прегледът обхваща 93 научни труда, публикувани между 2015 и началото на 2019 г.</t>
        </is>
      </c>
      <c r="J4" s="57" t="inlineStr">
        <is>
          <t>Числото 93 се потвърждава. ЗАБЕЛЕЖКА: записът в списъка трябва да се допълни с том, книжка и страници.</t>
        </is>
      </c>
      <c r="K4" s="57" t="inlineStr">
        <is>
          <t>Claude (авт.)</t>
        </is>
      </c>
      <c r="L4" s="57" t="inlineStr">
        <is>
          <t>29.08.2026</t>
        </is>
      </c>
    </row>
    <row r="5" ht="44" customHeight="1" s="22">
      <c r="A5" s="49" t="n">
        <v>23</v>
      </c>
      <c r="B5" s="49" t="inlineStr">
        <is>
          <t>G. W. Choi and J. Y. Seo, "Accessibility, usability, and universal design for learning: Discussion of three key LX/UX elements for inclusive learning design," TechTrends, vol. 68, no. 5, pp. 936–945, 2024, doi: 10.1007/s11528-024-00987-6.</t>
        </is>
      </c>
      <c r="C5" s="49" t="inlineStr">
        <is>
          <t>Статия</t>
        </is>
      </c>
      <c r="D5" s="49" t="inlineStr">
        <is>
          <t>DOI / издател</t>
        </is>
      </c>
      <c r="E5" s="49" t="inlineStr">
        <is>
          <t>Среден</t>
        </is>
      </c>
      <c r="F5" s="49" t="n">
        <v>1</v>
      </c>
      <c r="G5" s="57" t="inlineStr">
        <is>
          <t>Потвърдено</t>
        </is>
      </c>
      <c r="H5" s="60" t="inlineStr">
        <is>
          <t>https://link.springer.com/article/10.1007/s11528-024-00987-6</t>
        </is>
      </c>
      <c r="I5" s="57" t="inlineStr">
        <is>
          <t>TechTrends, т. 68, кн. 5, с. 936–945, 2024. „a truly inclusive learning (i.e. UDL) comes from the interplay between them“ — достъпност, използваемост и UDL се допълват, а не се изключват.</t>
        </is>
      </c>
      <c r="J5" s="57" t="inlineStr">
        <is>
          <t>Записът е верен и твърдението се потвърждава.</t>
        </is>
      </c>
      <c r="K5" s="57" t="inlineStr">
        <is>
          <t>Claude (авт.)</t>
        </is>
      </c>
      <c r="L5" s="57" t="inlineStr">
        <is>
          <t>29.08.2026</t>
        </is>
      </c>
    </row>
    <row r="6" ht="44" customHeight="1" s="22">
      <c r="A6" s="49" t="n">
        <v>34</v>
      </c>
      <c r="B6" s="49" t="inlineStr">
        <is>
          <t>M. Hadra, K. Cambridge, and M. Mesbah, "Evaluating the accuracy and reliability of AI content detectors in academic contexts," International Journal for Educational Integrity, vol. 22, Art. no. 4, 2026, doi: 10.1007/s40979-026-00213-1.</t>
        </is>
      </c>
      <c r="C6" s="49" t="inlineStr">
        <is>
          <t>Статия</t>
        </is>
      </c>
      <c r="D6" s="49" t="inlineStr">
        <is>
          <t>DOI / издател</t>
        </is>
      </c>
      <c r="E6" s="49" t="inlineStr">
        <is>
          <t>Висок</t>
        </is>
      </c>
      <c r="F6" s="49" t="n">
        <v>1</v>
      </c>
      <c r="G6" s="57" t="inlineStr">
        <is>
          <t>Потвърдено</t>
        </is>
      </c>
      <c r="H6" s="60" t="inlineStr">
        <is>
          <t>https://link.springer.com/article/10.1007/s40979-026-00213-1</t>
        </is>
      </c>
      <c r="I6" s="57" t="inlineStr">
        <is>
          <t>„Turnitin demonstrated strong performance in identifying Human-generated texts… but its specificity for this class was comparatively low, indicating frequent misclassification“; „its sensitivity was substantially lower, suggesting that many AI texts were not correctly identified“; „paraphrasing severely degrades detector reliability“; риск от „misclassifying legitimate EFL student work“. Точност: Originality 0,69 срещу Turnitin 0,61.</t>
        </is>
      </c>
      <c r="J6" s="57" t="inlineStr">
        <is>
          <t>Потвърдено изцяло. ЗАБЕЛЕЖКА: записът дава „Art. no. 4“, а OpenAlex отчита кн. 1 — да се сверя по самата статия.</t>
        </is>
      </c>
      <c r="K6" s="57" t="inlineStr">
        <is>
          <t>Claude (авт.)</t>
        </is>
      </c>
      <c r="L6" s="57" t="inlineStr">
        <is>
          <t>29.08.2026</t>
        </is>
      </c>
    </row>
    <row r="7" ht="44" customHeight="1" s="22">
      <c r="A7" s="49" t="n">
        <v>35</v>
      </c>
      <c r="B7" s="49" t="inlineStr">
        <is>
          <t>M. Perkins, "Academic integrity considerations of AI large language models in the post-pandemic era: ChatGPT and beyond," Journal of University Teaching &amp; Learning Practice, vol. 20, no. 2, Art. no. 7, 2023, doi: 10.53761/1.20.02.07.</t>
        </is>
      </c>
      <c r="C7" s="49" t="inlineStr">
        <is>
          <t>Статия</t>
        </is>
      </c>
      <c r="D7" s="49" t="inlineStr">
        <is>
          <t>DOI / издател</t>
        </is>
      </c>
      <c r="E7" s="49" t="inlineStr">
        <is>
          <t>Среден</t>
        </is>
      </c>
      <c r="F7" s="49" t="n">
        <v>1</v>
      </c>
      <c r="G7" s="57" t="inlineStr">
        <is>
          <t>Потвърдено</t>
        </is>
      </c>
      <c r="H7" s="60" t="inlineStr">
        <is>
          <t>https://openjournals.libs.uga.edu/jutlp/article/view/3212</t>
        </is>
      </c>
      <c r="I7" s="57" t="inlineStr">
        <is>
          <t>Journal of University Teaching and Learning Practice, т. 20, кн. 2, чл. 07, 2023. Изводът е, че институциите трябва да актуализират политиките си за академична почтеност и че критично е не самото използване на инструменти, а начинът на приложението им.</t>
        </is>
      </c>
      <c r="J7" s="57" t="inlineStr">
        <is>
          <t>Записът е верен. Твърдението за изместване към регулирана и декларирана употреба се потвърждава по същество.</t>
        </is>
      </c>
      <c r="K7" s="57" t="inlineStr">
        <is>
          <t>Claude (авт.)</t>
        </is>
      </c>
      <c r="L7" s="57" t="inlineStr">
        <is>
          <t>29.08.2026</t>
        </is>
      </c>
    </row>
    <row r="8" ht="44" customHeight="1" s="22">
      <c r="A8" s="49" t="n">
        <v>38</v>
      </c>
      <c r="B8" s="49" t="inlineStr">
        <is>
          <t>P. Denny, H. Khosravi, A. Hellas, J. Leinonen, and S. Sarsa, "Can we trust AI-generated educational content? Comparative analysis of human and AI-generated learning resources," 2023, arXiv:2306.10509.</t>
        </is>
      </c>
      <c r="C8" s="49" t="inlineStr">
        <is>
          <t>Статия</t>
        </is>
      </c>
      <c r="D8" s="49" t="inlineStr">
        <is>
          <t>DOI / издател</t>
        </is>
      </c>
      <c r="E8" s="49" t="inlineStr">
        <is>
          <t>Висок</t>
        </is>
      </c>
      <c r="F8" s="49" t="n">
        <v>2</v>
      </c>
      <c r="G8" s="51" t="inlineStr">
        <is>
          <t>Частично потвърдено</t>
        </is>
      </c>
      <c r="H8" s="63" t="inlineStr">
        <is>
          <t>https://arxiv.org/abs/2306.10509</t>
        </is>
      </c>
      <c r="I8" s="51" t="inlineStr">
        <is>
          <t>„the quality of AI-generated resources, as perceived by students, is equivalent to the quality of resources generated by their peers“. Абстрактът не дава числа.</t>
        </is>
      </c>
      <c r="J8" s="51" t="inlineStr">
        <is>
          <t>ВАЖНО РАЗЛИЧИЕ: източникът твърди РАВНОСТОЙНО ВЪЗПРИЕМАНО КАЧЕСТВО, а не „неразличимост по повърхностни белези“. Второто е по-силно и не се подкрепя. Виж редове 6 и 25 на Ниво 2.</t>
        </is>
      </c>
      <c r="K8" s="51" t="inlineStr">
        <is>
          <t>Claude (авт.)</t>
        </is>
      </c>
      <c r="L8" s="51" t="inlineStr">
        <is>
          <t>29.08.2026</t>
        </is>
      </c>
    </row>
    <row r="9" ht="44" customHeight="1" s="22">
      <c r="A9" s="49" t="n">
        <v>39</v>
      </c>
      <c r="B9" s="49" t="inlineStr">
        <is>
          <t>Plain Language — Part 1: Governing Principles and Guidelines, ISO 24495-1:2023, International Organization for Standardization, Geneva, Switzerland, 2023.</t>
        </is>
      </c>
      <c r="C9" s="49" t="inlineStr">
        <is>
          <t>Стандарт</t>
        </is>
      </c>
      <c r="D9" s="49" t="inlineStr">
        <is>
          <t>ISO 24495-1:2023 — платен достъп</t>
        </is>
      </c>
      <c r="E9" s="49" t="inlineStr">
        <is>
          <t>Висок</t>
        </is>
      </c>
      <c r="F9" s="49" t="n">
        <v>1</v>
      </c>
      <c r="G9" s="57" t="inlineStr">
        <is>
          <t>Потвърдено</t>
        </is>
      </c>
      <c r="H9" s="60" t="inlineStr">
        <is>
          <t>https://webstore.ansi.org/preview-pages/ISO/preview_ISO+24495-1-2023.pdf</t>
        </is>
      </c>
      <c r="I9" s="57" t="inlineStr">
        <is>
          <t>Четирите принципа: 1) Relevant — „Readers get what they need“; 2) Findable — „Readers can easily find what they need“; 3) Understandable — „Readers can easily understand what they find“; 4) Usable — „Readers can easily use the information“.</t>
        </is>
      </c>
      <c r="J9" s="57" t="inlineStr">
        <is>
          <t>Потвърдено чрез свободната предварителна страница на стандарта. Четирите принципа съвпадат точно с формулировката в текста.</t>
        </is>
      </c>
      <c r="K9" s="57" t="inlineStr">
        <is>
          <t>Claude (авт.)</t>
        </is>
      </c>
      <c r="L9" s="57" t="inlineStr">
        <is>
          <t>29.08.2026</t>
        </is>
      </c>
    </row>
    <row r="10" ht="44" customHeight="1" s="22">
      <c r="A10" s="49" t="n">
        <v>40</v>
      </c>
      <c r="B10" s="49" t="inlineStr">
        <is>
          <t>Q. Huang, C. Lv, L. Lu, and S. Tu, "Evaluating the quality of AI-generated digital educational resources for university teaching and learning," Systems, vol. 13, no. 3, Art. no. 174, 2025, doi: 10.3390/systems13030174.</t>
        </is>
      </c>
      <c r="C10" s="49" t="inlineStr">
        <is>
          <t>Статия</t>
        </is>
      </c>
      <c r="D10" s="49" t="inlineStr">
        <is>
          <t>DOI / издател</t>
        </is>
      </c>
      <c r="E10" s="49" t="inlineStr">
        <is>
          <t>Висок</t>
        </is>
      </c>
      <c r="F10" s="49" t="n">
        <v>1</v>
      </c>
      <c r="G10" s="51" t="inlineStr">
        <is>
          <t>Частично потвърдено</t>
        </is>
      </c>
      <c r="H10" s="63" t="inlineStr">
        <is>
          <t>https://www.mdpi.com/2079-8954/13/3/174</t>
        </is>
      </c>
      <c r="I10" s="51" t="inlineStr">
        <is>
          <t>„this paper presents an evaluation index system for AI-generated digital educational resources by combining the Delphi method and the Analytic Hierarchy Process“. Системата има ЧЕТИРИ измерения и двадесет показателя: съдържателни (тегло 0,503), на изразяването (0,257), потребителски (0,137) и технически (0,109).</t>
        </is>
      </c>
      <c r="J10" s="51" t="inlineStr">
        <is>
          <t>РАЗЛИЧИЕ: текстът говори за „съдържателни, педагогически и технологични“ измерения. Източникът има четири измерения и сред тях НЯМА педагогическо — има „изразяване“ и „потребителски“. Освен това методът е Delphi плюс AHP, което заслужава да се назове.</t>
        </is>
      </c>
      <c r="K10" s="51" t="inlineStr">
        <is>
          <t>Claude (авт.)</t>
        </is>
      </c>
      <c r="L10" s="51" t="inlineStr">
        <is>
          <t>29.08.2026</t>
        </is>
      </c>
    </row>
    <row r="11" ht="44" customHeight="1" s="22">
      <c r="A11" s="49" t="n">
        <v>47</v>
      </c>
      <c r="B11" s="49" t="inlineStr">
        <is>
          <t>W. H. Walters and E. I. Wilder, "Fabrication and errors in the bibliographic citations generated by ChatGPT," Scientific Reports, vol. 13, 2023, doi: 10.1038/s41598-023-41032-5.</t>
        </is>
      </c>
      <c r="C11" s="49" t="inlineStr">
        <is>
          <t>Статия</t>
        </is>
      </c>
      <c r="D11" s="49" t="inlineStr">
        <is>
          <t>DOI / издател</t>
        </is>
      </c>
      <c r="E11" s="49" t="inlineStr">
        <is>
          <t>Критичен</t>
        </is>
      </c>
      <c r="F11" s="49" t="n">
        <v>1</v>
      </c>
      <c r="G11" s="57" t="inlineStr">
        <is>
          <t>Потвърдено</t>
        </is>
      </c>
      <c r="H11" s="60" t="inlineStr">
        <is>
          <t>https://www.nature.com/articles/s41598-023-41032-5</t>
        </is>
      </c>
      <c r="I11" s="57" t="inlineStr">
        <is>
          <t>„55% of the GPT-3.5 citations but just 18% of the GPT-4 citations are fabricated“; „43% of the real (non-fabricated) GPT-3.5 citations but just 24% of the real GPT-4 citations include substantive citation errors“. Scientific Reports, т. 13, чл. 14045, 2023.</t>
        </is>
      </c>
      <c r="J11" s="57" t="inlineStr">
        <is>
          <t>И трите числа в текста се потвърждават дословно. ПРЕПОРЪКА: „съществена част съдържа значими грешки“ да се замени с конкретните 43 и 24 на сто — числата са налични и са по-силни от общата формулировка.</t>
        </is>
      </c>
      <c r="K11" s="57" t="inlineStr">
        <is>
          <t>Claude (авт.)</t>
        </is>
      </c>
      <c r="L11" s="57" t="inlineStr">
        <is>
          <t>29.08.2026</t>
        </is>
      </c>
    </row>
  </sheetData>
  <dataValidations count="1">
    <dataValidation sqref="G2:G11" showDropDown="0" showInputMessage="0" showErrorMessage="0" allowBlank="1" type="list">
      <formula1>"Непроверено,Потвърдено,Частично потвърдено,Не се потвърждава,Няма достъп — за ръчна проверка"</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outlineLevelCol="0"/>
  <cols>
    <col width="5" customWidth="1" style="22" min="1" max="1"/>
    <col width="10" customWidth="1" style="22" min="2" max="2"/>
    <col width="8" customWidth="1" style="22" min="3" max="3"/>
    <col width="14" customWidth="1" style="22" min="4" max="4"/>
    <col width="14" customWidth="1" style="22" min="5" max="5"/>
    <col width="85" customWidth="1" style="22" min="6" max="6"/>
    <col width="22" customWidth="1" style="22" min="7" max="7"/>
    <col width="22" customWidth="1" style="22" min="8" max="8"/>
    <col width="36" customWidth="1" style="22" min="9" max="9"/>
    <col width="70" customWidth="1" style="22" min="10" max="10"/>
    <col width="40" customWidth="1" style="22" min="11" max="11"/>
    <col width="13" customWidth="1" style="22" min="12" max="12"/>
    <col width="11" customWidth="1" style="22" min="13" max="13"/>
  </cols>
  <sheetData>
    <row r="1">
      <c r="A1" s="62" t="inlineStr">
        <is>
          <t>№</t>
        </is>
      </c>
      <c r="B1" s="62" t="inlineStr">
        <is>
          <t>Раздел</t>
        </is>
      </c>
      <c r="C1" s="62" t="inlineStr">
        <is>
          <t>Абзац</t>
        </is>
      </c>
      <c r="D1" s="62" t="inlineStr">
        <is>
          <t>Източник(ци)</t>
        </is>
      </c>
      <c r="E1" s="62" t="inlineStr">
        <is>
          <t>Локатор</t>
        </is>
      </c>
      <c r="F1" s="62" t="inlineStr">
        <is>
          <t>Твърдение (както е в документа)</t>
        </is>
      </c>
      <c r="G1" s="62" t="inlineStr">
        <is>
          <t>Статус</t>
        </is>
      </c>
      <c r="H1" s="62" t="inlineStr">
        <is>
          <t>Намерено на</t>
        </is>
      </c>
      <c r="I1" s="62" t="inlineStr">
        <is>
          <t>Линк</t>
        </is>
      </c>
      <c r="J1" s="62" t="inlineStr">
        <is>
          <t>Извадка от източника (дословно)</t>
        </is>
      </c>
      <c r="K1" s="62" t="inlineStr">
        <is>
          <t>Бележка / действие</t>
        </is>
      </c>
      <c r="L1" s="62" t="inlineStr">
        <is>
          <t>Проверил</t>
        </is>
      </c>
      <c r="M1" s="62" t="inlineStr">
        <is>
          <t>Дата</t>
        </is>
      </c>
    </row>
    <row r="2" ht="70" customHeight="1" s="22">
      <c r="A2" s="49" t="n">
        <v>1</v>
      </c>
      <c r="B2" s="49" t="inlineStr">
        <is>
          <t>2.1</t>
        </is>
      </c>
      <c r="C2" s="49" t="n">
        <v>147</v>
      </c>
      <c r="D2" s="49" t="inlineStr">
        <is>
          <t>[7]</t>
        </is>
      </c>
      <c r="E2" s="49" t="inlineStr"/>
      <c r="F2" s="49" t="inlineStr">
        <is>
          <t>Към това семейство принадлежи и българският принос по темата: цитираното изследване на проблемите и решенията при генеративния изкуствен интелект в образованието очертава контурите на интегрирана система за оценяване на качеството на генерирани материали, съчетаваща метрики за кохезия, кохерентност, четивност и оригиналност с експертен преглед [7].</t>
        </is>
      </c>
      <c r="G2" s="57" t="inlineStr">
        <is>
          <t>Потвърдено</t>
        </is>
      </c>
      <c r="H2" s="57" t="inlineStr">
        <is>
          <t>—</t>
        </is>
      </c>
      <c r="I2" s="60" t="inlineStr">
        <is>
          <t>https://journals.azbuki.bg/pedagogy/generativen-izkustven-intelekt-v-obrazovanieto-problemi-i-reseniya/view</t>
        </is>
      </c>
      <c r="J2" s="57" t="inlineStr">
        <is>
          <t>Източникът изброява „кохезия и кохерентност, четливост и сходство“, като разгръща семантичното сходство като отделна метрика. „Оригиналност“ не се среща.</t>
        </is>
      </c>
      <c r="K2" s="57" t="inlineStr">
        <is>
          <t>ПОПРАВЕНО В ТЕКСТА: „оригиналност“ стана „семантично сходство“. Първа глава го цитираше правилно — глава 2 не.</t>
        </is>
      </c>
      <c r="L2" s="57" t="inlineStr">
        <is>
          <t>Claude (авт.)</t>
        </is>
      </c>
      <c r="M2" s="57" t="inlineStr">
        <is>
          <t>29.08.2026</t>
        </is>
      </c>
    </row>
    <row r="3" ht="70" customHeight="1" s="22">
      <c r="A3" s="49" t="n">
        <v>2</v>
      </c>
      <c r="B3" s="49" t="inlineStr">
        <is>
          <t>2.1</t>
        </is>
      </c>
      <c r="C3" s="49" t="n">
        <v>148</v>
      </c>
      <c r="D3" s="49" t="inlineStr">
        <is>
          <t>[40]</t>
        </is>
      </c>
      <c r="E3" s="49" t="inlineStr"/>
      <c r="F3" s="49" t="inlineStr">
        <is>
          <t>Показателен пример е изследването на Huang и колектив, което конструира и апробира подход за оценяване на качеството на AI-генерирани дигитални образователни ресурси във висшето образование, съчетаващ множество измерения на качеството — съдържателни, педагогически и технологични — в единна оценъчна процедура [40].</t>
        </is>
      </c>
      <c r="G3" s="57" t="inlineStr">
        <is>
          <t>Потвърдено</t>
        </is>
      </c>
      <c r="H3" s="57" t="inlineStr">
        <is>
          <t>—</t>
        </is>
      </c>
      <c r="I3" s="60" t="inlineStr">
        <is>
          <t>https://www.mdpi.com/2079-8954/13/3/174</t>
        </is>
      </c>
      <c r="J3" s="57" t="inlineStr">
        <is>
          <t>„an evaluation index system … combining the Delphi method and the Analytic Hierarchy Process“; четири измерения и двадесет показателя, с тегла 0,503 / 0,257 / 0,137 / 0,109.</t>
        </is>
      </c>
      <c r="K3" s="57" t="inlineStr">
        <is>
          <t>ПОПРАВЕНО: „съдържателни, педагогически и технологични“ стана четирите действителни измерения, добавен е и методът.</t>
        </is>
      </c>
      <c r="L3" s="57" t="inlineStr">
        <is>
          <t>Claude (авт.)</t>
        </is>
      </c>
      <c r="M3" s="57" t="inlineStr">
        <is>
          <t>29.08.2026</t>
        </is>
      </c>
    </row>
    <row r="4" ht="70" customHeight="1" s="22">
      <c r="A4" s="49" t="n">
        <v>3</v>
      </c>
      <c r="B4" s="49" t="inlineStr">
        <is>
          <t>2.1</t>
        </is>
      </c>
      <c r="C4" s="49" t="n">
        <v>149</v>
      </c>
      <c r="D4" s="49" t="inlineStr">
        <is>
          <t>[26]; [51]</t>
        </is>
      </c>
      <c r="E4" s="49" t="inlineStr"/>
      <c r="F4" s="49" t="inlineStr">
        <is>
          <t>Системите от типа на COGENT налагат педагогически ограничения още при създаването на съдържанието [51], а мулти-агентните архитектури като Instructional Agents включват вътрешни роли за преглед и проверка на произведените материали [26].</t>
        </is>
      </c>
      <c r="G4" s="57" t="inlineStr">
        <is>
          <t>Потвърдено</t>
        </is>
      </c>
      <c r="H4" s="57" t="inlineStr">
        <is>
          <t>—</t>
        </is>
      </c>
      <c r="I4" s="60" t="inlineStr">
        <is>
          <t>https://arxiv.org/abs/2508.19611</t>
        </is>
      </c>
      <c r="J4" s="57" t="inlineStr">
        <is>
          <t>„Instructional Agents simulates role-based collaboration to ensure pedagogical coherence“; материалите „are reviewed and refined by teaching faculty prior to use“. COGENT: „we incorporate structured curriculum information … ensuring pedagogical alignment“.</t>
        </is>
      </c>
      <c r="K4" s="57" t="inlineStr">
        <is>
          <t>ПОПРАВЕНО: „вътрешни роли за преглед и проверка“ не се потвърждава — прегледът в източника е ЧОВЕШКИ, от преподавател преди употреба. Текстът вече казва това.</t>
        </is>
      </c>
      <c r="L4" s="57" t="inlineStr">
        <is>
          <t>Claude (авт.)</t>
        </is>
      </c>
      <c r="M4" s="57" t="inlineStr">
        <is>
          <t>29.08.2026</t>
        </is>
      </c>
    </row>
    <row r="5" ht="160" customHeight="1" s="22">
      <c r="A5" s="49" t="n">
        <v>4</v>
      </c>
      <c r="B5" s="49" t="inlineStr">
        <is>
          <t>2.1</t>
        </is>
      </c>
      <c r="C5" s="49" t="n">
        <v>149</v>
      </c>
      <c r="D5" s="49" t="inlineStr">
        <is>
          <t>[45]</t>
        </is>
      </c>
      <c r="E5" s="49" t="inlineStr"/>
      <c r="F5" s="49" t="inlineStr">
        <is>
          <t>На институционално равнище същата логика се проявява в рамки, които интегрират изкуствения интелект в системите за осигуряване на качеството на висшето образование [45].</t>
        </is>
      </c>
      <c r="G5" s="76" t="inlineStr">
        <is>
          <t>Частично потвърдено</t>
        </is>
      </c>
      <c r="H5" s="57" t="inlineStr">
        <is>
          <t>—</t>
        </is>
      </c>
      <c r="I5" s="60" t="inlineStr">
        <is>
          <t>https://www.emerald.com/qae/article/34/2/205/1302250/Enhancing-quality-assurance-through-strategic</t>
        </is>
      </c>
      <c r="J5" s="57" t="inlineStr">
        <is>
          <t>Петстъпков модел за внедряване на ИИ в институционалната рамка за качество.</t>
        </is>
      </c>
      <c r="K5" s="57" t="inlineStr">
        <is>
          <t>Потвърдено — същият източник и същото твърдение като в първа глава. || ОТКРИТ ПРОБЛЕМ 31.08.2026: няма дословна извадка — статията в Emerald е зад платен достъп и не може да бъде прочетена автоматично. Твърдението остава подкрепено само от резюмето. Нужен е достъп през университета или замяна на източника.</t>
        </is>
      </c>
      <c r="L5" s="57" t="inlineStr">
        <is>
          <t>Claude (авт.)</t>
        </is>
      </c>
      <c r="M5" s="57" t="inlineStr">
        <is>
          <t>29.08.2026</t>
        </is>
      </c>
    </row>
    <row r="6" ht="70" customHeight="1" s="22">
      <c r="A6" s="49" t="n">
        <v>5</v>
      </c>
      <c r="B6" s="49" t="inlineStr">
        <is>
          <t>2.2</t>
        </is>
      </c>
      <c r="C6" s="49" t="n">
        <v>154</v>
      </c>
      <c r="D6" s="49" t="inlineStr">
        <is>
          <t>[19]</t>
        </is>
      </c>
      <c r="E6" s="49" t="inlineStr"/>
      <c r="F6" s="49" t="inlineStr">
        <is>
          <t>От една страна, халюцинациите правят възможни грешки от вид, който при добросъвестен човешки автор практически не се среща — уверено формулирани, но изцяло измислени факти, данни и източници [19].</t>
        </is>
      </c>
      <c r="G6" s="57" t="inlineStr">
        <is>
          <t>Потвърдено</t>
        </is>
      </c>
      <c r="H6" s="57" t="inlineStr">
        <is>
          <t>—</t>
        </is>
      </c>
      <c r="I6" s="60" t="inlineStr">
        <is>
          <t>https://arxiv.org/html/2311.05232v3</t>
        </is>
      </c>
      <c r="J6" s="57" t="inlineStr">
        <is>
          <t>Систематизацията на халюцинациите определя фактологичните халюцинации като изход, съдържащ факти, несъвместими с действителността или непроверими.</t>
        </is>
      </c>
      <c r="K6" s="57" t="inlineStr">
        <is>
          <t>ПОПРАВЕН ИЗТОЧНИК: беше [19] Kasneci, който НЕ обсъжда халюцинации и измислени източници. Пренасочено към [31] — систематизацията на халюцинациите.</t>
        </is>
      </c>
      <c r="L6" s="57" t="inlineStr">
        <is>
          <t>Claude (авт.)</t>
        </is>
      </c>
      <c r="M6" s="57" t="inlineStr">
        <is>
          <t>29.08.2026</t>
        </is>
      </c>
    </row>
    <row r="7" ht="70" customHeight="1" s="22">
      <c r="A7" s="49" t="n">
        <v>6</v>
      </c>
      <c r="B7" s="49" t="inlineStr">
        <is>
          <t>2.2</t>
        </is>
      </c>
      <c r="C7" s="49" t="n">
        <v>154</v>
      </c>
      <c r="D7" s="49" t="inlineStr">
        <is>
          <t>[38]</t>
        </is>
      </c>
      <c r="E7" s="49" t="inlineStr"/>
      <c r="F7" s="49" t="inlineStr">
        <is>
          <t>От друга страна, тези грешки не са маркирани стилистично: сравнителните изследвания показват, че генерираните учебни ресурси са трудно различими от човешките по възприемано качество и повърхностни белези [38].</t>
        </is>
      </c>
      <c r="G7" s="57" t="inlineStr">
        <is>
          <t>Потвърдено</t>
        </is>
      </c>
      <c r="H7" s="57" t="inlineStr">
        <is>
          <t>—</t>
        </is>
      </c>
      <c r="I7" s="60" t="inlineStr">
        <is>
          <t>https://arxiv.org/abs/2306.10509</t>
        </is>
      </c>
      <c r="J7" s="57" t="inlineStr">
        <is>
          <t>„the quality of AI-generated resources, as perceived by students, is equivalent to the quality of resources generated by their peers“.</t>
        </is>
      </c>
      <c r="K7" s="57" t="inlineStr">
        <is>
          <t>ПОПРАВЕНО: „трудно различими по възприемано качество и повърхностни белези“ стана „възприеманото от студентите качество е равностойно“. Неразличимостта не се твърди от източника.</t>
        </is>
      </c>
      <c r="L7" s="57" t="inlineStr">
        <is>
          <t>Claude (авт.)</t>
        </is>
      </c>
      <c r="M7" s="57" t="inlineStr">
        <is>
          <t>29.08.2026</t>
        </is>
      </c>
    </row>
    <row r="8" ht="70" customHeight="1" s="22">
      <c r="A8" s="49" t="n">
        <v>7</v>
      </c>
      <c r="B8" s="49" t="inlineStr">
        <is>
          <t>2.2</t>
        </is>
      </c>
      <c r="C8" s="49" t="n">
        <v>156</v>
      </c>
      <c r="D8" s="49" t="inlineStr">
        <is>
          <t>[13]</t>
        </is>
      </c>
      <c r="E8" s="49" t="inlineStr"/>
      <c r="F8" s="49" t="inlineStr">
        <is>
          <t>Рамката Angular е показателен пример: до версия 22 тя следва шестмесечен цикъл на основните издания, като от версия 22 преминава към едно основно издание годишно с четири до шест междинни; всяко основно издание се поддържа двадесет и четири месеца, а отпадащите програмни интерфейси преминават през период на отпадане с продължителност поне едно основно издание [13].</t>
        </is>
      </c>
      <c r="G8" s="57" t="inlineStr">
        <is>
          <t>Частично потвърдено</t>
        </is>
      </c>
      <c r="H8" s="57" t="inlineStr">
        <is>
          <t>—</t>
        </is>
      </c>
      <c r="I8" s="60" t="inlineStr">
        <is>
          <t>https://angular.dev/reference/releases</t>
        </is>
      </c>
      <c r="J8" s="57" t="inlineStr">
        <is>
          <t>„Until Angular v22, Angular had a 6-month major release cycle, with 1-3 minor releases for each major release“; „A major release every 12 months“ с „4-6 minor releases“; 24 месеца поддръжка; отпадане „a minimum one major version (approximately one year)“.</t>
        </is>
      </c>
      <c r="K8" s="57" t="inlineStr">
        <is>
          <t>Всички елементи се потвърждават. Липсва само уточнението, че при стария шестмесечен цикъл междинните издания са били едно до три. Може да се добави или да се пропусне без загуба.</t>
        </is>
      </c>
      <c r="L8" s="57" t="inlineStr">
        <is>
          <t>Claude (авт.)</t>
        </is>
      </c>
      <c r="M8" s="57" t="inlineStr">
        <is>
          <t>29.08.2026</t>
        </is>
      </c>
    </row>
    <row r="9" ht="70" customHeight="1" s="22">
      <c r="A9" s="49" t="n">
        <v>8</v>
      </c>
      <c r="B9" s="49" t="inlineStr">
        <is>
          <t>2.2</t>
        </is>
      </c>
      <c r="C9" s="49" t="n">
        <v>158</v>
      </c>
      <c r="D9" s="49" t="inlineStr">
        <is>
          <t>[19]</t>
        </is>
      </c>
      <c r="E9" s="49" t="inlineStr"/>
      <c r="F9" s="49" t="inlineStr">
        <is>
          <t>Генерираният текст може да се позовава на несъществуващи публикации или да приписва на реални източници твърдения, които те не съдържат — дефект, познат и документиран в литературата за халюцинациите [19].</t>
        </is>
      </c>
      <c r="G9" s="57" t="inlineStr">
        <is>
          <t>Потвърдено</t>
        </is>
      </c>
      <c r="H9" s="57" t="inlineStr">
        <is>
          <t>—</t>
        </is>
      </c>
      <c r="I9" s="60" t="inlineStr">
        <is>
          <t>https://www.nature.com/articles/s41598-023-41032-5</t>
        </is>
      </c>
      <c r="J9" s="57" t="inlineStr">
        <is>
          <t>„55% of the GPT-3.5 citations but just 18% of the GPT-4 citations are fabricated“.</t>
        </is>
      </c>
      <c r="K9" s="57" t="inlineStr">
        <is>
          <t>ПОПРАВЕН ИЗТОЧНИК И УСИЛЕНО ТВЪРДЕНИЕ: беше обща препратка към [19], който не съдържа това. Сега стъпва на [47] с конкретните числа.</t>
        </is>
      </c>
      <c r="L9" s="57" t="inlineStr">
        <is>
          <t>Claude (авт.)</t>
        </is>
      </c>
      <c r="M9" s="57" t="inlineStr">
        <is>
          <t>29.08.2026</t>
        </is>
      </c>
    </row>
    <row r="10" ht="70" customHeight="1" s="22">
      <c r="A10" s="49" t="n">
        <v>9</v>
      </c>
      <c r="B10" s="49" t="inlineStr">
        <is>
          <t>2.2</t>
        </is>
      </c>
      <c r="C10" s="49" t="n">
        <v>159</v>
      </c>
      <c r="D10" s="49" t="inlineStr">
        <is>
          <t>[47]</t>
        </is>
      </c>
      <c r="E10" s="49" t="inlineStr"/>
      <c r="F10" s="49" t="inlineStr">
        <is>
          <t>Изследване върху 636 библиографски позовавания, генерирани от два широко използвани диалогови модела, установява, че при по-стария модел 55% от цитатите са изцяло измислени, а при по-новия — 18%, като и сред реално съществуващите цитати съществена част съдържа значими грешки [47].</t>
        </is>
      </c>
      <c r="G10" s="57" t="inlineStr">
        <is>
          <t>Потвърдено</t>
        </is>
      </c>
      <c r="H10" s="57" t="inlineStr">
        <is>
          <t>—</t>
        </is>
      </c>
      <c r="I10" s="60" t="inlineStr">
        <is>
          <t>https://www.nature.com/articles/s41598-023-41032-5</t>
        </is>
      </c>
      <c r="J10" s="57" t="inlineStr">
        <is>
          <t>„43% of the real (non-fabricated) GPT-3.5 citations but just 24% of the real GPT-4 citations include substantive citation errors“.</t>
        </is>
      </c>
      <c r="K10" s="57" t="inlineStr">
        <is>
          <t>ДОПЪЛНЕНО: общата формулировка е заменена с конкретните 43 и 24 на сто.</t>
        </is>
      </c>
      <c r="L10" s="57" t="inlineStr">
        <is>
          <t>Claude (авт.)</t>
        </is>
      </c>
      <c r="M10" s="57" t="inlineStr">
        <is>
          <t>29.08.2026</t>
        </is>
      </c>
    </row>
    <row r="11" ht="70" customHeight="1" s="22">
      <c r="A11" s="49" t="n">
        <v>10</v>
      </c>
      <c r="B11" s="49" t="inlineStr">
        <is>
          <t>2.3</t>
        </is>
      </c>
      <c r="C11" s="49" t="n">
        <v>163</v>
      </c>
      <c r="D11" s="49" t="inlineStr">
        <is>
          <t>[44]</t>
        </is>
      </c>
      <c r="E11" s="49" t="inlineStr"/>
      <c r="F11" s="49" t="inlineStr">
        <is>
          <t>Вторият е педагогическата логика на изложението — последователност, съответстваща на учебната логика на дисциплината, сегментиране на смислови единици и въвеждане на понятията преди употребата им [44]; проверимият показател е дали обучаем с декларираните предварителни знания може да следва изложението, без да се натъква на неизведени понятия.</t>
        </is>
      </c>
      <c r="G11" s="57" t="inlineStr">
        <is>
          <t>Потвърдено</t>
        </is>
      </c>
      <c r="H11" s="57" t="inlineStr">
        <is>
          <t>—</t>
        </is>
      </c>
      <c r="I11" s="60" t="inlineStr">
        <is>
          <t>https://www.sciencedirect.com/science/article/pii/S2211368121000231</t>
        </is>
      </c>
      <c r="J11" s="57" t="inlineStr">
        <is>
          <t>„when a complex slide is broken down into a progression of added parts (i.e., segmenting principle)“; „pre-training (provide pre-training in the names and characteristics of key concepts)“.</t>
        </is>
      </c>
      <c r="K11" s="57" t="inlineStr">
        <is>
          <t>ПОПРАВЕН НОМЕР: цитатът сочеше [44] Ramezani вместо [42] Mayer — грешка от преномерирането при сливането. Съдържанието се потвърждава.</t>
        </is>
      </c>
      <c r="L11" s="57" t="inlineStr">
        <is>
          <t>Claude (авт.)</t>
        </is>
      </c>
      <c r="M11" s="57" t="inlineStr">
        <is>
          <t>29.08.2026</t>
        </is>
      </c>
    </row>
    <row r="12" ht="160" customHeight="1" s="22">
      <c r="A12" s="49" t="n">
        <v>11</v>
      </c>
      <c r="B12" s="49" t="inlineStr">
        <is>
          <t>2.3</t>
        </is>
      </c>
      <c r="C12" s="49" t="n">
        <v>163</v>
      </c>
      <c r="D12" s="49" t="inlineStr">
        <is>
          <t>[33]</t>
        </is>
      </c>
      <c r="E12" s="49" t="inlineStr">
        <is>
          <t>с. 44–45</t>
        </is>
      </c>
      <c r="F12" s="49" t="inlineStr">
        <is>
          <t>Третият критерий е активното учене: наличие на примери, задачи за прилагане и съдържателна обратна връзка — операционализация на принципите за демонстрация и прилагане [33, с. 44–45].</t>
        </is>
      </c>
      <c r="G12" s="57" t="inlineStr">
        <is>
          <t>Потвърдено (ниво на статия)</t>
        </is>
      </c>
      <c r="H12" s="57" t="inlineStr">
        <is>
          <t>Springer / OpenAlex — резюме на статията</t>
        </is>
      </c>
      <c r="I12" s="75" t="inlineStr">
        <is>
          <t>https://link.springer.com/article/10.1007/BF02505024</t>
        </is>
      </c>
      <c r="J12" s="57" t="inlineStr">
        <is>
          <t>Резюмето изброява петте принципа дословно: „Learning is promoted when learners are engaged in solving real-world problems… when existing knowledge is activated as a foundation for new knowledge… when new knowledge is demonstrated to the learner… when new knowledge is applied by the learner… when new knowledge is integrated into the learner’s world.“</t>
        </is>
      </c>
      <c r="K12" s="57" t="inlineStr">
        <is>
          <t>Принципите за демонстрация и прилагане се потвърждават. Локаторът „с. 44–45“ да се сверя по PDF пагинацията. || 31.08.2026: източникът вече е [29] по текущата номерация (тук е записан по стара като [33]). Локаторът „с. 44–45“ е ПРЕМАХНАТ от текста — пълният текст на статията е недостъпен и пагинацията не може да се провери; цитира се цялата статия.</t>
        </is>
      </c>
      <c r="L12" s="57" t="inlineStr">
        <is>
          <t>Claude (авт.)</t>
        </is>
      </c>
      <c r="M12" s="57" t="inlineStr">
        <is>
          <t>29.08.2026</t>
        </is>
      </c>
    </row>
    <row r="13" ht="70" customHeight="1" s="22">
      <c r="A13" s="49" t="n">
        <v>12</v>
      </c>
      <c r="B13" s="49" t="inlineStr">
        <is>
          <t>2.3</t>
        </is>
      </c>
      <c r="C13" s="49" t="n">
        <v>164</v>
      </c>
      <c r="D13" s="49" t="inlineStr">
        <is>
          <t>[51]</t>
        </is>
      </c>
      <c r="E13" s="49" t="inlineStr"/>
      <c r="F13" s="49" t="inlineStr">
        <is>
          <t>Опитът на системите за контролирано генериране потвърждава това от обратната страна: за да бъде генерираното съдържание съобразено с учебната програма и с равнището на обучаемите, тези ограничения трябва да бъдат вградени изрично в процеса на генериране [51] — а при масовата практика на диалогово създаване такова вграждане липсва, освен ако преподавателят не го е внесъл сам чрез заявката.</t>
        </is>
      </c>
      <c r="G13" s="57" t="inlineStr">
        <is>
          <t>Потвърдено</t>
        </is>
      </c>
      <c r="H13" s="57" t="inlineStr">
        <is>
          <t>—</t>
        </is>
      </c>
      <c r="I13" s="60" t="inlineStr">
        <is>
          <t>https://aclanthology.org/2025.bea-1.10.pdf</t>
        </is>
      </c>
      <c r="J13" s="57" t="inlineStr">
        <is>
          <t>„we implement constraints on word number, vocabulary, and sentence complexity based on grade-level reading proficiency“.</t>
        </is>
      </c>
      <c r="K13" s="57" t="inlineStr">
        <is>
          <t>Потвърдено: ограниченията са вградени изрично в процеса на генериране.</t>
        </is>
      </c>
      <c r="L13" s="57" t="inlineStr">
        <is>
          <t>Claude (авт.)</t>
        </is>
      </c>
      <c r="M13" s="57" t="inlineStr">
        <is>
          <t>29.08.2026</t>
        </is>
      </c>
    </row>
    <row r="14" ht="160" customHeight="1" s="22">
      <c r="A14" s="49" t="n">
        <v>13</v>
      </c>
      <c r="B14" s="49" t="inlineStr">
        <is>
          <t>2.3</t>
        </is>
      </c>
      <c r="C14" s="49" t="n">
        <v>165</v>
      </c>
      <c r="D14" s="49" t="inlineStr">
        <is>
          <t>[22]</t>
        </is>
      </c>
      <c r="E14" s="49" t="inlineStr"/>
      <c r="F14" s="49" t="inlineStr">
        <is>
          <t>Систематичният преглед на 93 изследвания в тази област показва, че още преди големите езикови модели полето е разработило подробни изисквания към качеството на генерираните въпроси — свързаност с учебното съдържание, еднозначност на верния отговор, правдоподобност на грешните алтернативи — и че оценяването им системно изисква човешка експертна проверка [22].</t>
        </is>
      </c>
      <c r="G14" s="76" t="inlineStr">
        <is>
          <t>Частично потвърдено</t>
        </is>
      </c>
      <c r="H14" s="57" t="inlineStr">
        <is>
          <t>IJAIED 30(1) — резюме и раздел за оценяване</t>
        </is>
      </c>
      <c r="I14" s="75" t="inlineStr">
        <is>
          <t>https://link.springer.com/article/10.1007/s40593-019-00186-y</t>
        </is>
      </c>
      <c r="J14" s="57" t="inlineStr">
        <is>
          <t>„This review extends a previous review on AQG literature that has been published up to late 2014. It includes 93 papers that were between 2015 and early 2019 and tackle the automatic generation of questions for educational purposes.“ | Оценявани свойства на въпросите: граматическа правилност („36.7% and 39.5% of questions generated… were rated by reviewers as ungrammatical and nonsensical“), трудност („there is little focus in the current literature on generating questions of controlled difficulty“), отговоримост, естественост на формулировката („enhancing the naturalness of questions (i.e. verbalisation)“) и качество на дистракторите („Distractor generation is a very important task in MCQ generation since distractors influence question quality“). | Човешка оценка: критерий за качество Q9 — „whether questions were evaluated by multiple reviewers and whether measures of the agreement… were reported“.</t>
        </is>
      </c>
      <c r="K14" s="57" t="inlineStr">
        <is>
          <t>Числото 93 се потвърждава. || ВНИМАНИЕ — НЕСЪОТВЕТСТВИЕ С ТЕКСТА. Абз. 164 приписва на прегледа триадата „свързаност с учебното съдържание, еднозначност на верния отговор, правдоподобност на грешните алтернативи“. Дословно потвърдени са само качеството на дистракторите и (косвено) отговоримостта; „свързаност с учебното съдържание“ не се среща като изведен критерий. Изречението подлежи на пренаписване по действително изброените свойства. 31.08.2026.</t>
        </is>
      </c>
      <c r="L14" s="57" t="inlineStr">
        <is>
          <t>Claude (авт.)</t>
        </is>
      </c>
      <c r="M14" s="57" t="inlineStr">
        <is>
          <t>29.08.2026</t>
        </is>
      </c>
    </row>
    <row r="15" ht="70" customHeight="1" s="22">
      <c r="A15" s="49" t="n">
        <v>14</v>
      </c>
      <c r="B15" s="49" t="inlineStr">
        <is>
          <t>2.3</t>
        </is>
      </c>
      <c r="C15" s="49" t="n">
        <v>166</v>
      </c>
      <c r="D15" s="49" t="inlineStr">
        <is>
          <t>[2]</t>
        </is>
      </c>
      <c r="E15" s="49" t="inlineStr"/>
      <c r="F15" s="49" t="inlineStr">
        <is>
          <t>Документираният опит с автоматизирано генериране на тестови въпроси показва системна склонност на моделите да формулират задачи по отделен детайл от подадения текст, вместо по водещото понятие, което той изгражда — дефект, който наложил въвеждането на изрична настройка за концептуална дълбочина в работния процес [2].</t>
        </is>
      </c>
      <c r="G15" s="57" t="inlineStr">
        <is>
          <t>Потвърдено</t>
        </is>
      </c>
      <c r="H15" s="57" t="inlineStr">
        <is>
          <t>—</t>
        </is>
      </c>
      <c r="I15" s="60" t="inlineStr">
        <is>
          <t>https://www.conf-dte.bg/docs/2026/p-100.pdf</t>
        </is>
      </c>
      <c r="J15" s="57" t="inlineStr">
        <is>
          <t>„без явно зададена дълбочина AI моделите създават тясно-…“; „Именно тази наблюдавана слабост е обусловила въвеждането на Стъпка 2 от работния процес — конфигурирането на концептуалната дълбочина на въпроса.“</t>
        </is>
      </c>
      <c r="K15" s="57" t="inlineStr">
        <is>
          <t>Потвърдено дословно, включително причинната връзка.</t>
        </is>
      </c>
      <c r="L15" s="57" t="inlineStr">
        <is>
          <t>Claude (авт.)</t>
        </is>
      </c>
      <c r="M15" s="57" t="inlineStr">
        <is>
          <t>29.08.2026</t>
        </is>
      </c>
    </row>
    <row r="16" ht="70" customHeight="1" s="22">
      <c r="A16" s="49" t="n">
        <v>15</v>
      </c>
      <c r="B16" s="49" t="inlineStr">
        <is>
          <t>2.4</t>
        </is>
      </c>
      <c r="C16" s="49" t="n">
        <v>171</v>
      </c>
      <c r="D16" s="49" t="inlineStr">
        <is>
          <t>[19]</t>
        </is>
      </c>
      <c r="E16" s="49" t="inlineStr"/>
      <c r="F16" s="49" t="inlineStr">
        <is>
          <t>Спецификата на генерираното съдържание тук е парадоксална: езикът му е плавен по подразбиране, затова рискът не е в очевидната неграмотност, а в по-фини дефекти — терминологична непоследователност между отделни части на материала, произведени с различни заявки; стилова монотонност, която уморява при по-дълго изложение; а при езици с по-слабо покритие в обучителните данни, каквито са и по-малките европейски езици, — неестествени конструкции и буквално пренесени чуждоезични обрати [19].</t>
        </is>
      </c>
      <c r="G16" s="57" t="inlineStr">
        <is>
          <t>Потвърдено</t>
        </is>
      </c>
      <c r="H16" s="57" t="inlineStr">
        <is>
          <t>—</t>
        </is>
      </c>
      <c r="I16" s="60" t="inlineStr">
        <is>
          <t>https://opus.bibliothek.uni-augsburg.de/opus4/files/109030/109030.pdf</t>
        </is>
      </c>
      <c r="J16" s="57" t="inlineStr">
        <is>
          <t>„While the majority of the research in large language models is done for the English language, there is still a gap of research in this field for other languages.“ Плюс таблицата на [2]: ~4–5 % срещу ~1–2 % редакция.</t>
        </is>
      </c>
      <c r="K16" s="57" t="inlineStr">
        <is>
          <t>ПРЕНАПИСАНО: „терминологична непоследователност между заявки“ и „стилова монотонност“ не се твърдят от [19] и отпаднаха. Езиковият дефицит остана и получи втора опора — документираните български данни от [2].</t>
        </is>
      </c>
      <c r="L16" s="57" t="inlineStr">
        <is>
          <t>Claude (авт.)</t>
        </is>
      </c>
      <c r="M16" s="57" t="inlineStr">
        <is>
          <t>29.08.2026</t>
        </is>
      </c>
    </row>
    <row r="17" ht="70" customHeight="1" s="22">
      <c r="A17" s="49" t="n">
        <v>16</v>
      </c>
      <c r="B17" s="49" t="inlineStr">
        <is>
          <t>2.4</t>
        </is>
      </c>
      <c r="C17" s="49" t="n">
        <v>172</v>
      </c>
      <c r="D17" s="49" t="inlineStr">
        <is>
          <t>[39]</t>
        </is>
      </c>
      <c r="E17" s="49" t="inlineStr"/>
      <c r="F17" s="49" t="inlineStr">
        <is>
          <t>Критерият за разбираемост има и международно утвърдена операционализация: стандартът за ясен език ISO 24495-1 определя ясната комуникация чрез четири принципа, които поставят читателя в центъра — читателят да получава относимата за него информация, да може да я намери, да я разбере и да може да я използва [39].</t>
        </is>
      </c>
      <c r="G17" s="57" t="inlineStr">
        <is>
          <t>Потвърдено</t>
        </is>
      </c>
      <c r="H17" s="57" t="inlineStr">
        <is>
          <t>—</t>
        </is>
      </c>
      <c r="I17" s="60" t="inlineStr">
        <is>
          <t>https://webstore.ansi.org/preview-pages/ISO/preview_ISO+24495-1-2023.pdf</t>
        </is>
      </c>
      <c r="J17" s="57" t="inlineStr">
        <is>
          <t>„Readers get what they need“; „Readers can easily find what they need“; „Readers can easily understand what they find“; „Readers can easily use the information“.</t>
        </is>
      </c>
      <c r="K17" s="57" t="inlineStr">
        <is>
          <t>Четирите принципа съвпадат дословно с формулировката в текста.</t>
        </is>
      </c>
      <c r="L17" s="57" t="inlineStr">
        <is>
          <t>Claude (авт.)</t>
        </is>
      </c>
      <c r="M17" s="57" t="inlineStr">
        <is>
          <t>29.08.2026</t>
        </is>
      </c>
    </row>
    <row r="18" ht="70" customHeight="1" s="22">
      <c r="A18" s="49" t="n">
        <v>17</v>
      </c>
      <c r="B18" s="49" t="inlineStr">
        <is>
          <t>2.4</t>
        </is>
      </c>
      <c r="C18" s="49" t="n">
        <v>173</v>
      </c>
      <c r="D18" s="49" t="inlineStr">
        <is>
          <t>[2]</t>
        </is>
      </c>
      <c r="E18" s="49" t="inlineStr"/>
      <c r="F18" s="49" t="inlineStr">
        <is>
          <t>При съпоставимо по обем генериране на тестови въпроси от учебен текст на два езика делът на въпросите, изискващи редакция, е около 4–5 на сто при българските срещу 1–2 на сто при английските, а преобладаващият тип нередност е именно неестествено или несвойствено формулиране на български [2].</t>
        </is>
      </c>
      <c r="G18" s="57" t="inlineStr">
        <is>
          <t>Потвърдено</t>
        </is>
      </c>
      <c r="H18" s="57" t="inlineStr">
        <is>
          <t>—</t>
        </is>
      </c>
      <c r="I18" s="60" t="inlineStr">
        <is>
          <t>https://www.conf-dte.bg/docs/2026/p-100.pdf</t>
        </is>
      </c>
      <c r="J18" s="57" t="inlineStr">
        <is>
          <t>Таблица: български 324 920 знака → 267 въпроса → ~4–5 % редакция; английски 331 893 знака → 286 въпроса → ~1–2 %. „необходимите корекции са предимно от езиков и стилистичен, а не от фактически характер“.</t>
        </is>
      </c>
      <c r="K18" s="57" t="inlineStr">
        <is>
          <t>И трите елемента се потвърждават точно — двата дяла и преобладаващият тип нередност.</t>
        </is>
      </c>
      <c r="L18" s="57" t="inlineStr">
        <is>
          <t>Claude (авт.)</t>
        </is>
      </c>
      <c r="M18" s="57" t="inlineStr">
        <is>
          <t>29.08.2026</t>
        </is>
      </c>
    </row>
    <row r="19" ht="70" customHeight="1" s="22">
      <c r="A19" s="49" t="n">
        <v>18</v>
      </c>
      <c r="B19" s="49" t="inlineStr">
        <is>
          <t>2.4</t>
        </is>
      </c>
      <c r="C19" s="49" t="n">
        <v>174</v>
      </c>
      <c r="D19" s="49" t="inlineStr">
        <is>
          <t>[44]</t>
        </is>
      </c>
      <c r="E19" s="49" t="inlineStr"/>
      <c r="F19" s="49" t="inlineStr">
        <is>
          <t>Текстовата и визуалната организация обхваща разчленяването на изложението — заглавия, които отразяват съдържанието, смислово обособени части, откроени определения и примери — и икономията на изразните средства: изследванията върху мултимедийното учене показват, че изключването на несъществения текст и на ненужния визуален материал подобрява ученето [44].</t>
        </is>
      </c>
      <c r="G19" s="57" t="inlineStr">
        <is>
          <t>Потвърдено</t>
        </is>
      </c>
      <c r="H19" s="57" t="inlineStr">
        <is>
          <t>—</t>
        </is>
      </c>
      <c r="I19" s="60" t="inlineStr">
        <is>
          <t>https://www.sciencedirect.com/science/article/pii/S2211368121000231</t>
        </is>
      </c>
      <c r="J19" s="57" t="inlineStr">
        <is>
          <t>„students learn better when extraneous comments and unneeded visual material are excluded (i.e., coherence principle)“.</t>
        </is>
      </c>
      <c r="K19" s="57" t="inlineStr">
        <is>
          <t>ПОПРАВЕН НОМЕР: същата грешка като ред 10 — сочеше [44] вместо [42].</t>
        </is>
      </c>
      <c r="L19" s="57" t="inlineStr">
        <is>
          <t>Claude (авт.)</t>
        </is>
      </c>
      <c r="M19" s="57" t="inlineStr">
        <is>
          <t>29.08.2026</t>
        </is>
      </c>
    </row>
    <row r="20" ht="70" customHeight="1" s="22">
      <c r="A20" s="49" t="n">
        <v>19</v>
      </c>
      <c r="B20" s="49" t="inlineStr">
        <is>
          <t>2.4</t>
        </is>
      </c>
      <c r="C20" s="49" t="n">
        <v>175</v>
      </c>
      <c r="D20" s="49" t="inlineStr">
        <is>
          <t>[15]</t>
        </is>
      </c>
      <c r="E20" s="49" t="inlineStr"/>
      <c r="F20" s="49" t="inlineStr">
        <is>
          <t>Рамката на универсалния дизайн за учене (UDL) изисква учебното съдържание да предоставя множество средства за представяне на информацията, за ангажиране на обучаемите и за изразяване на наученото, така че материалът да бъде използваем от обучаеми с различни възможности и предпочитания [15].</t>
        </is>
      </c>
      <c r="G20" s="57" t="inlineStr">
        <is>
          <t>Потвърдено</t>
        </is>
      </c>
      <c r="H20" s="57" t="inlineStr">
        <is>
          <t>—</t>
        </is>
      </c>
      <c r="I20" s="60" t="inlineStr">
        <is>
          <t>https://udlguidelines.cast.org</t>
        </is>
      </c>
      <c r="J20" s="57" t="inlineStr">
        <is>
          <t>„Design Multiple Means of Engagement“, „Design Multiple Means of Representation“, „Design Multiple Means of Action &amp; Expression“.</t>
        </is>
      </c>
      <c r="K20" s="57" t="inlineStr">
        <is>
          <t>Трите средства се потвърждават дословно.</t>
        </is>
      </c>
      <c r="L20" s="57" t="inlineStr">
        <is>
          <t>Claude (авт.)</t>
        </is>
      </c>
      <c r="M20" s="57" t="inlineStr">
        <is>
          <t>29.08.2026</t>
        </is>
      </c>
    </row>
    <row r="21" ht="70" customHeight="1" s="22">
      <c r="A21" s="49" t="n">
        <v>20</v>
      </c>
      <c r="B21" s="49" t="inlineStr">
        <is>
          <t>2.4</t>
        </is>
      </c>
      <c r="C21" s="49" t="n">
        <v>175</v>
      </c>
      <c r="D21" s="49" t="inlineStr">
        <is>
          <t>[23]</t>
        </is>
      </c>
      <c r="E21" s="49" t="inlineStr"/>
      <c r="F21" s="49" t="inlineStr">
        <is>
          <t>В литературата за дизайна на учебния опит достъпността, използваемостта и универсалният дизайн се разглеждат като три допълващи се елемента на приобщаващия дизайн — свързани, но неподменяеми един с друг [23].</t>
        </is>
      </c>
      <c r="G21" s="57" t="inlineStr">
        <is>
          <t>Потвърдено</t>
        </is>
      </c>
      <c r="H21" s="57" t="inlineStr">
        <is>
          <t>—</t>
        </is>
      </c>
      <c r="I21" s="60" t="inlineStr">
        <is>
          <t>https://link.springer.com/article/10.1007/s11528-024-00987-6</t>
        </is>
      </c>
      <c r="J21" s="57" t="inlineStr">
        <is>
          <t>„a truly inclusive learning (i.e. UDL) comes from the interplay between them“.</t>
        </is>
      </c>
      <c r="K21" s="57" t="inlineStr">
        <is>
          <t>Потвърдено: трите елемента са допълващи се и неподменяеми.</t>
        </is>
      </c>
      <c r="L21" s="57" t="inlineStr">
        <is>
          <t>Claude (авт.)</t>
        </is>
      </c>
      <c r="M21" s="57" t="inlineStr">
        <is>
          <t>29.08.2026</t>
        </is>
      </c>
    </row>
    <row r="22" ht="70" customHeight="1" s="22">
      <c r="A22" s="49" t="n">
        <v>21</v>
      </c>
      <c r="B22" s="49" t="inlineStr">
        <is>
          <t>2.5</t>
        </is>
      </c>
      <c r="C22" s="49" t="n">
        <v>180</v>
      </c>
      <c r="D22" s="49" t="inlineStr">
        <is>
          <t>[34]</t>
        </is>
      </c>
      <c r="E22" s="49" t="inlineStr"/>
      <c r="F22" s="49" t="inlineStr">
        <is>
          <t>Емпиричните оценки обаче показват, че точността и надеждността на такива детектори в академичен контекст са недостатъчни — те произвеждат както фалшиви обвинения срещу човешки текст, така и пропуски на действително генериран, а резултатите им се влияят от езика и от редакцията на текста [34].</t>
        </is>
      </c>
      <c r="G22" s="57" t="inlineStr">
        <is>
          <t>Потвърдено</t>
        </is>
      </c>
      <c r="H22" s="57" t="inlineStr">
        <is>
          <t>—</t>
        </is>
      </c>
      <c r="I22" s="60" t="inlineStr">
        <is>
          <t>https://link.springer.com/article/10.1007/s40979-026-00213-1</t>
        </is>
      </c>
      <c r="J22" s="57" t="inlineStr">
        <is>
          <t>Ниска специфичност при човешки текст, съществено по-ниска чувствителност при машинен, „paraphrasing severely degrades detector reliability“, риск при текст на неносители на езика.</t>
        </is>
      </c>
      <c r="K22" s="57" t="inlineStr">
        <is>
          <t>Потвърдено изцяло, включително влиянието на езика и на редакцията. Може да се добавят стойностите за точност — 0,69 и 0,61.</t>
        </is>
      </c>
      <c r="L22" s="57" t="inlineStr">
        <is>
          <t>Claude (авт.)</t>
        </is>
      </c>
      <c r="M22" s="57" t="inlineStr">
        <is>
          <t>29.08.2026</t>
        </is>
      </c>
    </row>
    <row r="23" ht="70" customHeight="1" s="22">
      <c r="A23" s="49" t="n">
        <v>22</v>
      </c>
      <c r="B23" s="49" t="inlineStr">
        <is>
          <t>2.5</t>
        </is>
      </c>
      <c r="C23" s="49" t="n">
        <v>181</v>
      </c>
      <c r="D23" s="49" t="inlineStr">
        <is>
          <t>[1]</t>
        </is>
      </c>
      <c r="E23" s="49" t="inlineStr"/>
      <c r="F23" s="49" t="inlineStr">
        <is>
          <t>Анализът на приложимостта им в българска академична среда посочва два системни проблема: фалшивите положителни резултати са особено характерни за текстове с висока терминологична наситеност и формализиран стил — тоест точно за добре написаното научно и учебно изложение — а детекторите, обучени предимно върху текстове на английски език, губят точност при проверка на текстове на български [1].</t>
        </is>
      </c>
      <c r="G23" s="57" t="inlineStr">
        <is>
          <t>Потвърдено</t>
        </is>
      </c>
      <c r="H23" s="57" t="inlineStr">
        <is>
          <t>—</t>
        </is>
      </c>
      <c r="I23" s="60" t="inlineStr">
        <is>
          <t>https://www.conf-dte.bg/docs/2026/p-2.pdf</t>
        </is>
      </c>
      <c r="J23" s="57" t="inlineStr">
        <is>
          <t>„Фалшивите положителни резултати са особено характерни за текстове с висока терминологична наситеност, академичен жаргон и формализиран стил“; „детекторите, обучени предимно върху текстове на английски език“.</t>
        </is>
      </c>
      <c r="K23" s="57" t="inlineStr">
        <is>
          <t>Потвърдено дословно, включително и двата системни проблема.</t>
        </is>
      </c>
      <c r="L23" s="57" t="inlineStr">
        <is>
          <t>Claude (авт.)</t>
        </is>
      </c>
      <c r="M23" s="57" t="inlineStr">
        <is>
          <t>29.08.2026</t>
        </is>
      </c>
    </row>
    <row r="24" ht="160" customHeight="1" s="22">
      <c r="A24" s="49" t="n">
        <v>23</v>
      </c>
      <c r="B24" s="49" t="inlineStr">
        <is>
          <t>2.5</t>
        </is>
      </c>
      <c r="C24" s="49" t="n">
        <v>182</v>
      </c>
      <c r="D24" s="49" t="inlineStr">
        <is>
          <t>[35]</t>
        </is>
      </c>
      <c r="E24" s="49" t="inlineStr"/>
      <c r="F24" s="49" t="inlineStr">
        <is>
          <t>Анализите на академичната почтеност след масовото навлизане на диалоговите модели показват изместване от първоначалните забрани към регулирана и декларирана употреба: постижимата цел не е откриването на всяка генерирана дума, а ясни правила кога употребата е допустима, как се декларира и кой носи отговорност за крайния текст [35].</t>
        </is>
      </c>
      <c r="G24" s="57" t="inlineStr">
        <is>
          <t>Потвърдено</t>
        </is>
      </c>
      <c r="H24" s="57" t="inlineStr">
        <is>
          <t>JUTLP 20(2), 2023 — резюме и заключение</t>
        </is>
      </c>
      <c r="I24" s="75" t="inlineStr">
        <is>
          <t>https://open-publishing.org/journals/index.php/jutlp/article/view/635</t>
        </is>
      </c>
      <c r="J24" s="57" t="inlineStr">
        <is>
          <t>„…it is not the student use of any AI tools that defines whether plagiarism or a breach of academic integrity has occurred, but whether any use is made clear by the student.“ | „…academic integrity policies of any given HEI, which must be updated to consider how these tools will be used in future educational environments.“ | „…these tools have in creating original, coherent text that can avoid detection by existing technological methods of detection and trained academic staff alike.“</t>
        </is>
      </c>
      <c r="K24" s="57" t="inlineStr">
        <is>
          <t>Потвърдено по същество. || 31.08.2026: предишната „извадка“ беше преразказ. Заменена с дословния текст. И трите елемента на твърдението — недостатъчност на откриването, актуализиране на политиките, декларирана употреба — се покриват.</t>
        </is>
      </c>
      <c r="L24" s="57" t="inlineStr">
        <is>
          <t>Claude (авт.)</t>
        </is>
      </c>
      <c r="M24" s="57" t="inlineStr">
        <is>
          <t>29.08.2026</t>
        </is>
      </c>
    </row>
    <row r="25" ht="70" customHeight="1" s="22">
      <c r="A25" s="49" t="n">
        <v>24</v>
      </c>
      <c r="B25" s="49" t="inlineStr">
        <is>
          <t>2.5</t>
        </is>
      </c>
      <c r="C25" s="49" t="n">
        <v>183</v>
      </c>
      <c r="D25" s="49" t="inlineStr">
        <is>
          <t>[19]</t>
        </is>
      </c>
      <c r="E25" s="49" t="inlineStr"/>
      <c r="F25" s="49" t="inlineStr">
        <is>
          <t>Генерираният материал може да съдържа елементи, наследени от обучителните данни: стереотипизиращи примери и роли, пристрастия към определени групи, гледни точки, представени като безспорни, или съдържание, неподходящо за възрастта и контекста на аудиторията [19].</t>
        </is>
      </c>
      <c r="G25" s="57" t="inlineStr">
        <is>
          <t>Потвърдено</t>
        </is>
      </c>
      <c r="H25" s="57" t="inlineStr">
        <is>
          <t>—</t>
        </is>
      </c>
      <c r="I25" s="60" t="inlineStr">
        <is>
          <t>https://opus.bibliothek.uni-augsburg.de/opus4/files/109030/109030.pdf</t>
        </is>
      </c>
      <c r="J25" s="57" t="inlineStr">
        <is>
          <t>Статията има отделен раздел „Bias and fairness“ и посочва „potential bias in the output“ и „potential societal biases“ сред основните предизвикателства.</t>
        </is>
      </c>
      <c r="K25" s="57" t="inlineStr">
        <is>
          <t>Пристрастията и стереотипите се потвърждават.</t>
        </is>
      </c>
      <c r="L25" s="57" t="inlineStr">
        <is>
          <t>Claude (авт.)</t>
        </is>
      </c>
      <c r="M25" s="57" t="inlineStr">
        <is>
          <t>29.08.2026</t>
        </is>
      </c>
    </row>
    <row r="26" ht="70" customHeight="1" s="22">
      <c r="A26" s="49" t="n">
        <v>25</v>
      </c>
      <c r="B26" s="49" t="inlineStr">
        <is>
          <t>2.6</t>
        </is>
      </c>
      <c r="C26" s="49" t="n">
        <v>187</v>
      </c>
      <c r="D26" s="49" t="inlineStr">
        <is>
          <t>[38]</t>
        </is>
      </c>
      <c r="E26" s="49" t="inlineStr"/>
      <c r="F26" s="49" t="inlineStr">
        <is>
          <t>Определящата характеристика на тези дефицити не е тяхната честота, а тяхната невидимост: сравнителните изследвания показват, че генерираните учебни ресурси са неразличими от човешките по повърхностни белези [38], така че дефектите не се набиват на очи, а се откриват само при целенасочена проверка.</t>
        </is>
      </c>
      <c r="G26" s="57" t="inlineStr">
        <is>
          <t>Потвърдено</t>
        </is>
      </c>
      <c r="H26" s="57" t="inlineStr">
        <is>
          <t>—</t>
        </is>
      </c>
      <c r="I26" s="60" t="inlineStr">
        <is>
          <t>https://arxiv.org/abs/2306.10509</t>
        </is>
      </c>
      <c r="J26" s="57" t="inlineStr">
        <is>
          <t>Същият пасаж като ред 6.</t>
        </is>
      </c>
      <c r="K26" s="57" t="inlineStr">
        <is>
          <t>ПОПРАВЕНО по същия начин.</t>
        </is>
      </c>
      <c r="L26" s="57" t="inlineStr">
        <is>
          <t>Claude (авт.)</t>
        </is>
      </c>
      <c r="M26" s="57" t="inlineStr">
        <is>
          <t>29.08.2026</t>
        </is>
      </c>
    </row>
    <row r="27" ht="70" customHeight="1" s="22">
      <c r="A27" s="49" t="n">
        <v>26</v>
      </c>
      <c r="B27" s="49" t="inlineStr">
        <is>
          <t>2.6</t>
        </is>
      </c>
      <c r="C27" s="49" t="n">
        <v>188</v>
      </c>
      <c r="D27" s="49" t="inlineStr">
        <is>
          <t>[51]</t>
        </is>
      </c>
      <c r="E27" s="49" t="inlineStr"/>
      <c r="F27" s="49" t="inlineStr">
        <is>
          <t>В дидактическата област типичните дефицити са логическите пропуски — стъпки в изложението, които моделът прескача като очевидни, защото не поддържа модел на предварителните знания на обучаемия; липсата на педагогическа последователност — форма на учебен текст без осъзнат замисъл зад реда на представяне; несъобразеността с конкретната аудитория и учебна програма, която системите за контролирано генериране компенсират именно защото я констатират като системен проблем [51]; и еднотипните, повърхностни упражнения без съдържателна обратна връзка.</t>
        </is>
      </c>
      <c r="G27" s="57" t="inlineStr">
        <is>
          <t>Потвърдено</t>
        </is>
      </c>
      <c r="H27" s="57" t="inlineStr">
        <is>
          <t>—</t>
        </is>
      </c>
      <c r="I27" s="60" t="inlineStr">
        <is>
          <t>https://aclanthology.org/2025.bea-1.10.pdf</t>
        </is>
      </c>
      <c r="J27" s="57" t="inlineStr">
        <is>
          <t>„we incorporate structured curriculum information to guide LLM-based educational content generation“; „constraints on word number, vocabulary, and sentence complexity based on grade-level reading proficiency“.</t>
        </is>
      </c>
      <c r="K27" s="57" t="inlineStr">
        <is>
          <t>ПРЕНАПИСАНО: „моделът прескача стъпки, защото не поддържа модел на предварителните знания“ и „липса на осъзнат замисъл зад реда на представяне“ бяха твои изводи без източник и отпаднаха. Остана несъобразеността с аудиторията и програмата, която COGENT наистина компенсира.</t>
        </is>
      </c>
      <c r="L27" s="57" t="inlineStr">
        <is>
          <t>Claude (авт.)</t>
        </is>
      </c>
      <c r="M27" s="57" t="inlineStr">
        <is>
          <t>29.08.2026</t>
        </is>
      </c>
    </row>
    <row r="28" ht="70" customHeight="1" s="22">
      <c r="A28" s="49" t="n">
        <v>27</v>
      </c>
      <c r="B28" s="49" t="inlineStr">
        <is>
          <t>2.6</t>
        </is>
      </c>
      <c r="C28" s="49" t="n">
        <v>189</v>
      </c>
      <c r="D28" s="49" t="inlineStr">
        <is>
          <t>[19]</t>
        </is>
      </c>
      <c r="E28" s="49" t="inlineStr"/>
      <c r="F28" s="49" t="inlineStr">
        <is>
          <t>В четвъртата област — оригиналност и етична допустимост — типичните дефицити са скритата близост до съществуващи източници, която материалът не обозначава, и наследените от данните стереотипи и пристрастия в примерите и допусканията [19].</t>
        </is>
      </c>
      <c r="G28" s="57" t="inlineStr">
        <is>
          <t>Потвърдено</t>
        </is>
      </c>
      <c r="H28" s="57" t="inlineStr">
        <is>
          <t>—</t>
        </is>
      </c>
      <c r="I28" s="60" t="inlineStr">
        <is>
          <t>https://opus.bibliothek.uni-augsburg.de/opus4/files/109030/109030.pdf</t>
        </is>
      </c>
      <c r="J28" s="57" t="inlineStr">
        <is>
          <t>„the answer may contain a full sentence or even a paragraph seen in the training set, leading to copyright and plagiarism issues“; раздел „Bias and fairness“.</t>
        </is>
      </c>
      <c r="K28" s="57" t="inlineStr">
        <is>
          <t>И двата дефицита се потвърждават — близостта до източници и наследените пристрастия.</t>
        </is>
      </c>
      <c r="L28" s="57" t="inlineStr">
        <is>
          <t>Claude (авт.)</t>
        </is>
      </c>
      <c r="M28" s="57" t="inlineStr">
        <is>
          <t>29.08.2026</t>
        </is>
      </c>
    </row>
    <row r="29" ht="160" customHeight="1" s="22">
      <c r="A29" s="49" t="n">
        <v>28</v>
      </c>
      <c r="B29" s="49" t="inlineStr">
        <is>
          <t>3.7</t>
        </is>
      </c>
      <c r="C29" s="49" t="n">
        <v>252</v>
      </c>
      <c r="D29" s="49" t="inlineStr">
        <is>
          <t>[2]</t>
        </is>
      </c>
      <c r="E29" s="49" t="inlineStr"/>
      <c r="F29" s="49" t="inlineStr">
        <is>
          <t>Материалите са на български език, което едновременно съответства на контекста на работата и поставя инструментите пред по-взискателно езиково изпитание: документираните български данни показват двукратно до петкратно по-висок дял материали, изискващи езикова редакция, спрямо генерираните на английски [2].</t>
        </is>
      </c>
      <c r="G29" s="57" t="inlineStr">
        <is>
          <t>Потвърдено</t>
        </is>
      </c>
      <c r="H29" s="57" t="inlineStr">
        <is>
          <t>Сб. „Дигитална трансформация на образованието“ 2026, доклад p-100, Табл. 1</t>
        </is>
      </c>
      <c r="I29" s="75" t="inlineStr">
        <is>
          <t>https://www.conf-dte.bg/docs/2026/p-100.pdf</t>
        </is>
      </c>
      <c r="J29" s="57" t="inlineStr">
        <is>
          <t>Табл. 1 от доклада: „Български | 324 920 | 267 | ~4–5%“; „Английски | 331 893 | 286 | ~1–2%“; „Общо | 656 813 | 553 | ~2–3%“. | „Необходимата редакция при английските текстове е значително по-малка (~1–2%), отколкото при българските (~4–5%).“ | „…преобладаващият тип нередност е неестествено или несвойствено формулиране на въпроса и/или вариантите на отговор на български.“</t>
        </is>
      </c>
      <c r="K29" s="57" t="inlineStr">
        <is>
          <t>„Двукратно до петкратно“ е коректно: съотношението варира от 4:2 до 5:1. || 31.08.2026: дословната таблица и изводът са извлечени от изтегления PDF (2026_p-100.pdf). „Двукратно до петкратно“ е коректно спрямо 4:2 и 5:1.</t>
        </is>
      </c>
      <c r="L29" s="57" t="inlineStr">
        <is>
          <t>Claude (авт.)</t>
        </is>
      </c>
      <c r="M29" s="57" t="inlineStr">
        <is>
          <t>29.08.2026</t>
        </is>
      </c>
    </row>
    <row r="30" ht="70" customHeight="1" s="22">
      <c r="A30" s="49" t="n">
        <v>29</v>
      </c>
      <c r="B30" s="49" t="inlineStr">
        <is>
          <t>3.7</t>
        </is>
      </c>
      <c r="C30" s="49" t="n">
        <v>254</v>
      </c>
      <c r="D30" s="49" t="inlineStr">
        <is>
          <t>[13]</t>
        </is>
      </c>
      <c r="E30" s="49" t="inlineStr"/>
      <c r="F30" s="49" t="inlineStr">
        <is>
          <t>Обстоятелството е особено благоприятно за целите на апробирането: към момента на генериране на материалите основното издание Angular 22 е публикувано само няколко седмици по-рано [13], тоест почти сигурно е извън обучителните данни и на двата използвани инструмента.</t>
        </is>
      </c>
      <c r="G30" s="57" t="inlineStr">
        <is>
          <t>Потвърдено</t>
        </is>
      </c>
      <c r="H30" s="57" t="inlineStr">
        <is>
          <t>—</t>
        </is>
      </c>
      <c r="I30" s="60" t="inlineStr">
        <is>
          <t>https://angular.dev/reference/releases</t>
        </is>
      </c>
      <c r="J30" s="57" t="inlineStr">
        <is>
          <t>Angular v22 е издадена на 3 юни 2026 г.</t>
        </is>
      </c>
      <c r="K30" s="57" t="inlineStr">
        <is>
          <t>Твърдението за времевата близост се потвърждава от графика на изданията. При окончателната редакция сверете датата на генериране на материалите.</t>
        </is>
      </c>
      <c r="L30" s="57" t="inlineStr">
        <is>
          <t>Claude (авт.)</t>
        </is>
      </c>
      <c r="M30" s="57" t="inlineStr">
        <is>
          <t>29.08.2026</t>
        </is>
      </c>
    </row>
  </sheetData>
  <autoFilter ref="A1:M30"/>
  <dataValidations count="1">
    <dataValidation sqref="G2:G30" showDropDown="0" showInputMessage="0" showErrorMessage="0" allowBlank="1" type="list">
      <formula1>"Непроверено,Потвърдено,Частично потвърдено,Не се потвърждава,Няма достъп — за ръчна проверка"</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outlineLevelCol="0"/>
  <cols>
    <col width="5" customWidth="1" style="22" min="1" max="1"/>
    <col width="9" customWidth="1" style="22" min="2" max="2"/>
    <col width="8" customWidth="1" style="22" min="3" max="3"/>
    <col width="95" customWidth="1" style="22" min="4" max="4"/>
    <col width="34" customWidth="1" style="22" min="5" max="5"/>
    <col width="60" customWidth="1" style="22" min="6" max="6"/>
    <col width="13" customWidth="1" style="22" min="7" max="7"/>
    <col width="11" customWidth="1" style="22" min="8" max="8"/>
  </cols>
  <sheetData>
    <row r="1">
      <c r="A1" s="50" t="inlineStr">
        <is>
          <t>№</t>
        </is>
      </c>
      <c r="B1" s="50" t="inlineStr">
        <is>
          <t>Раздел</t>
        </is>
      </c>
      <c r="C1" s="50" t="inlineStr">
        <is>
          <t>Абзац</t>
        </is>
      </c>
      <c r="D1" s="50" t="inlineStr">
        <is>
          <t>Изречение без цитат</t>
        </is>
      </c>
      <c r="E1" s="50" t="inlineStr">
        <is>
          <t>Решение</t>
        </is>
      </c>
      <c r="F1" s="50" t="inlineStr">
        <is>
          <t>Бележка</t>
        </is>
      </c>
      <c r="G1" s="50" t="inlineStr">
        <is>
          <t>Проверил</t>
        </is>
      </c>
      <c r="H1" s="50" t="inlineStr">
        <is>
          <t>Дата</t>
        </is>
      </c>
    </row>
    <row r="2" ht="46" customHeight="1" s="22">
      <c r="A2" s="49" t="n">
        <v>1</v>
      </c>
      <c r="B2" s="49" t="inlineStr">
        <is>
          <t>2.1</t>
        </is>
      </c>
      <c r="C2" s="49" t="n">
        <v>146</v>
      </c>
      <c r="D2" s="49" t="inlineStr">
        <is>
          <t>Първото семейство адаптира наследената критериална традиция: съществуващите системи от критерии за качество на електронно съдържание — педагогически, езикови, визуални — се прилагат към генерираните материали без съществена промяна.</t>
        </is>
      </c>
      <c r="E2" s="57" t="inlineStr">
        <is>
          <t>Рамка на изложението — не изисква източник</t>
        </is>
      </c>
      <c r="F2"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 s="57" t="inlineStr">
        <is>
          <t>Claude (авт.)</t>
        </is>
      </c>
      <c r="H2" s="57" t="inlineStr">
        <is>
          <t>29.08.2026</t>
        </is>
      </c>
    </row>
    <row r="3" ht="46" customHeight="1" s="22">
      <c r="A3" s="49" t="n">
        <v>2</v>
      </c>
      <c r="B3" s="49" t="inlineStr">
        <is>
          <t>2.2</t>
        </is>
      </c>
      <c r="C3" s="49" t="n">
        <v>153</v>
      </c>
      <c r="D3" s="49" t="inlineStr">
        <is>
          <t>Научната коректност е първата и базова област на качеството: учебен материал, който съобщава неверни факти, компрометира самата цел на обучението, независимо колко добре е структуриран и оформен.</t>
        </is>
      </c>
      <c r="E3" s="51" t="inlineStr">
        <is>
          <t>Покрито от цитата в същия абзац</t>
        </is>
      </c>
      <c r="F3" s="51" t="inlineStr">
        <is>
          <t>Изречението продължава или тълкува твърдение, цитирано в същия абзац. Повтори скобата, ако абзацът е дълъг.</t>
        </is>
      </c>
      <c r="G3" s="51" t="inlineStr">
        <is>
          <t>Claude (авт.)</t>
        </is>
      </c>
      <c r="H3" s="51" t="inlineStr">
        <is>
          <t>29.08.2026</t>
        </is>
      </c>
    </row>
    <row r="4" ht="46" customHeight="1" s="22">
      <c r="A4" s="49" t="n">
        <v>3</v>
      </c>
      <c r="B4" s="49" t="inlineStr">
        <is>
          <t>2.2</t>
        </is>
      </c>
      <c r="C4" s="49" t="n">
        <v>154</v>
      </c>
      <c r="D4" s="49" t="inlineStr">
        <is>
          <t>Следствието за критериите е принципно — проверката на точността не може да разчита на усета на четящия за „съмнителен текст", а трябва да се извършва твърдение по твърдение, срещу независими източници: учебна литература, официална документация, стандарти.</t>
        </is>
      </c>
      <c r="E4" s="51" t="inlineStr">
        <is>
          <t>Покрито от цитата в същия абзац</t>
        </is>
      </c>
      <c r="F4" s="51" t="inlineStr">
        <is>
          <t>Изречението продължава или тълкува твърдение, цитирано в същия абзац. Повтори скобата, ако абзацът е дълъг.</t>
        </is>
      </c>
      <c r="G4" s="51" t="inlineStr">
        <is>
          <t>Claude (авт.)</t>
        </is>
      </c>
      <c r="H4" s="51" t="inlineStr">
        <is>
          <t>29.08.2026</t>
        </is>
      </c>
    </row>
    <row r="5" ht="46" customHeight="1" s="22">
      <c r="A5" s="49" t="n">
        <v>4</v>
      </c>
      <c r="B5" s="49" t="inlineStr">
        <is>
          <t>2.2</t>
        </is>
      </c>
      <c r="C5" s="49" t="n">
        <v>155</v>
      </c>
      <c r="D5" s="49" t="inlineStr">
        <is>
          <t>Актуалността произтича от начина на обучение на езиковите модели: техните знания отразяват състоянието на обучителните данни към минал момент и не се обновяват сами.</t>
        </is>
      </c>
      <c r="E5" s="55" t="inlineStr">
        <is>
          <t>Нужен източник — намерен</t>
        </is>
      </c>
      <c r="F5" s="55" t="inlineStr">
        <is>
          <t>НАНЕСЕНО: остарялото знание вече стъпва на [49] — систематизацията на обогатеното с извличане генериране го посочва сред основните ограничения на моделите.</t>
        </is>
      </c>
      <c r="G5" s="55" t="inlineStr">
        <is>
          <t>Claude (авт.)</t>
        </is>
      </c>
      <c r="H5" s="55" t="inlineStr">
        <is>
          <t>29.08.2026</t>
        </is>
      </c>
    </row>
    <row r="6" ht="46" customHeight="1" s="22">
      <c r="A6" s="49" t="n">
        <v>5</v>
      </c>
      <c r="B6" s="49" t="inlineStr">
        <is>
          <t>2.2</t>
        </is>
      </c>
      <c r="C6" s="49" t="n">
        <v>155</v>
      </c>
      <c r="D6" s="49" t="inlineStr">
        <is>
          <t>Показателят, който критерият изисква, е съответствие на съдържанието с актуалното състояние на областта — актуална версия, действащ стандарт, съвременна терминология — проверено към момента на използване, а не към момента на генериране.</t>
        </is>
      </c>
      <c r="E6" s="51" t="inlineStr">
        <is>
          <t>Покрито от цитата в същия абзац</t>
        </is>
      </c>
      <c r="F6" s="51" t="inlineStr">
        <is>
          <t>Изречението продължава или тълкува твърдение, цитирано в същия абзац. Повтори скобата, ако абзацът е дълъг.</t>
        </is>
      </c>
      <c r="G6" s="51" t="inlineStr">
        <is>
          <t>Claude (авт.)</t>
        </is>
      </c>
      <c r="H6" s="51" t="inlineStr">
        <is>
          <t>29.08.2026</t>
        </is>
      </c>
    </row>
    <row r="7" ht="46" customHeight="1" s="22">
      <c r="A7" s="49" t="n">
        <v>6</v>
      </c>
      <c r="B7" s="49" t="inlineStr">
        <is>
          <t>2.2</t>
        </is>
      </c>
      <c r="C7" s="49" t="n">
        <v>156</v>
      </c>
      <c r="D7" s="49" t="inlineStr">
        <is>
          <t>Първото е количествено: за период от три години — типичното време между обучението на един езиков модел и използването на негов изход — предметната област е сменила няколко основни издания, а част от препоръчаните практики са отпаднали.</t>
        </is>
      </c>
      <c r="E7" s="55" t="inlineStr">
        <is>
          <t>Пренаписано</t>
        </is>
      </c>
      <c r="F7" s="55" t="inlineStr">
        <is>
          <t>НАНЕСЕНО: „за период от три години — типичното време между обучението на модел и използването на негов изход“ отпадна. Това число нямаше източник и се четеше като установен факт. Остана „дори за няколко години“.</t>
        </is>
      </c>
      <c r="G7" s="55" t="inlineStr">
        <is>
          <t>Claude (авт.)</t>
        </is>
      </c>
      <c r="H7" s="55" t="inlineStr">
        <is>
          <t>29.08.2026</t>
        </is>
      </c>
    </row>
    <row r="8" ht="46" customHeight="1" s="22">
      <c r="A8" s="49" t="n">
        <v>7</v>
      </c>
      <c r="B8" s="49" t="inlineStr">
        <is>
          <t>2.2</t>
        </is>
      </c>
      <c r="C8" s="49" t="n">
        <v>157</v>
      </c>
      <c r="D8" s="49" t="inlineStr">
        <is>
          <t>Оттук произтича и практическото изискване към показателя за актуалност: той не може да бъде прилаган абстрактно, а изисква изрично фиксирана отправна точка — коя версия на технологията, кое издание на стандарта или коя редакция на нормативния документ се приема за актуални към момента на оценяването.</t>
        </is>
      </c>
      <c r="E8" s="51" t="inlineStr">
        <is>
          <t>Покрито от цитата в същия абзац</t>
        </is>
      </c>
      <c r="F8" s="51" t="inlineStr">
        <is>
          <t>Изречението продължава или тълкува твърдение, цитирано в същия абзац. Повтори скобата, ако абзацът е дълъг.</t>
        </is>
      </c>
      <c r="G8" s="51" t="inlineStr">
        <is>
          <t>Claude (авт.)</t>
        </is>
      </c>
      <c r="H8" s="51" t="inlineStr">
        <is>
          <t>29.08.2026</t>
        </is>
      </c>
    </row>
    <row r="9" ht="46" customHeight="1" s="22">
      <c r="A9" s="49" t="n">
        <v>8</v>
      </c>
      <c r="B9" s="49" t="inlineStr">
        <is>
          <t>2.2</t>
        </is>
      </c>
      <c r="C9" s="49" t="n">
        <v>159</v>
      </c>
      <c r="D9" s="49" t="inlineStr">
        <is>
          <t>Данните показват две неща едновременно: че новите поколения модели намаляват честотата на измислените източници и че дори при най-добрите тя остава далеч от пренебрежима.</t>
        </is>
      </c>
      <c r="E9" s="51" t="inlineStr">
        <is>
          <t>Покрито от цитата в същия абзац</t>
        </is>
      </c>
      <c r="F9" s="51" t="inlineStr">
        <is>
          <t>Изречението продължава или тълкува твърдение, цитирано в същия абзац. Повтори скобата, ако абзацът е дълъг.</t>
        </is>
      </c>
      <c r="G9" s="51" t="inlineStr">
        <is>
          <t>Claude (авт.)</t>
        </is>
      </c>
      <c r="H9" s="51" t="inlineStr">
        <is>
          <t>29.08.2026</t>
        </is>
      </c>
    </row>
    <row r="10" ht="46" customHeight="1" s="22">
      <c r="A10" s="49" t="n">
        <v>9</v>
      </c>
      <c r="B10" s="49" t="inlineStr">
        <is>
          <t>2.2</t>
        </is>
      </c>
      <c r="C10" s="49" t="n">
        <v>160</v>
      </c>
      <c r="D10" s="49" t="inlineStr">
        <is>
          <t>Обобщено, критериите за научна коректност на генерираното учебно съдържание не се различават по форма от класическите — точност, актуалност, надеждност, съответствие с източниците — но операционализацията им се обръща: от презумпция за коректност, оборвана по изключение, към проверка на всяко съществено твърдение, при която коректността се установява, а не се предполага.</t>
        </is>
      </c>
      <c r="E10" s="57" t="inlineStr">
        <is>
          <t>Рамка на изложението — не изисква източник</t>
        </is>
      </c>
      <c r="F1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0" s="57" t="inlineStr">
        <is>
          <t>Claude (авт.)</t>
        </is>
      </c>
      <c r="H10" s="57" t="inlineStr">
        <is>
          <t>29.08.2026</t>
        </is>
      </c>
    </row>
    <row r="11" ht="46" customHeight="1" s="22">
      <c r="A11" s="49" t="n">
        <v>10</v>
      </c>
      <c r="B11" s="49" t="inlineStr">
        <is>
          <t>2.3</t>
        </is>
      </c>
      <c r="C11" s="49" t="n">
        <v>162</v>
      </c>
      <c r="D11" s="49" t="inlineStr">
        <is>
          <t>Дидактическата пригодност е втората област на качеството и е логически независима от първата: материал с безупречна фактология може да бъде негоден за обучение — зле подреден, несъобразен с аудиторията, лишен от упражнения и обратна връзка.</t>
        </is>
      </c>
      <c r="E11" s="57" t="inlineStr">
        <is>
          <t>Рамка на изложението — не изисква източник</t>
        </is>
      </c>
      <c r="F11"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1" s="57" t="inlineStr">
        <is>
          <t>Claude (авт.)</t>
        </is>
      </c>
      <c r="H11" s="57" t="inlineStr">
        <is>
          <t>29.08.2026</t>
        </is>
      </c>
    </row>
    <row r="12" ht="46" customHeight="1" s="22">
      <c r="A12" s="49" t="n">
        <v>11</v>
      </c>
      <c r="B12" s="49" t="inlineStr">
        <is>
          <t>2.3</t>
        </is>
      </c>
      <c r="C12" s="49" t="n">
        <v>167</v>
      </c>
      <c r="D12" s="49" t="inlineStr">
        <is>
          <t>Проверката трябва да установи дали материалът е използваем такъв, какъвто е, в конкретните условия — вписва ли се в отделеното учебно време, съответства ли на формата на обучението, стъпва ли на действително изучаваното преди него и подготвя ли следващото.</t>
        </is>
      </c>
      <c r="E12" s="51" t="inlineStr">
        <is>
          <t>Покрито от цитата в същия абзац</t>
        </is>
      </c>
      <c r="F12" s="51" t="inlineStr">
        <is>
          <t>Изречението продължава или тълкува твърдение, цитирано в същия абзац. Повтори скобата, ако абзацът е дълъг.</t>
        </is>
      </c>
      <c r="G12" s="51" t="inlineStr">
        <is>
          <t>Claude (авт.)</t>
        </is>
      </c>
      <c r="H12" s="51" t="inlineStr">
        <is>
          <t>29.08.2026</t>
        </is>
      </c>
    </row>
    <row r="13" ht="46" customHeight="1" s="22">
      <c r="A13" s="49" t="n">
        <v>12</v>
      </c>
      <c r="B13" s="49" t="inlineStr">
        <is>
          <t>2.4</t>
        </is>
      </c>
      <c r="C13" s="49" t="n">
        <v>172</v>
      </c>
      <c r="D13" s="49" t="inlineStr">
        <is>
          <t>При генериран текст стандартът е полезен именно защото разграничава плавността от яснотата — текст, който се чете гладко, може да не отговаря на нито един от четирите принципа.</t>
        </is>
      </c>
      <c r="E13" s="51" t="inlineStr">
        <is>
          <t>Покрито от цитата в същия абзац</t>
        </is>
      </c>
      <c r="F13" s="51" t="inlineStr">
        <is>
          <t>Изречението продължава или тълкува твърдение, цитирано в същия абзац. Повтори скобата, ако абзацът е дълъг.</t>
        </is>
      </c>
      <c r="G13" s="51" t="inlineStr">
        <is>
          <t>Claude (авт.)</t>
        </is>
      </c>
      <c r="H13" s="51" t="inlineStr">
        <is>
          <t>29.08.2026</t>
        </is>
      </c>
    </row>
    <row r="14" ht="46" customHeight="1" s="22">
      <c r="A14" s="49" t="n">
        <v>13</v>
      </c>
      <c r="B14" s="49" t="inlineStr">
        <is>
          <t>2.5</t>
        </is>
      </c>
      <c r="C14" s="49" t="n">
        <v>179</v>
      </c>
      <c r="D14" s="49" t="inlineStr">
        <is>
          <t>Проверимите показатели са два: близост до съществуващи източници, установявана чрез съпоставка на характерни пасажи с достъпната литература по темата, и коректно обозначаване на действително заетите елементи — определения, класификации, примери с установен произход.</t>
        </is>
      </c>
      <c r="E14" s="51" t="inlineStr">
        <is>
          <t>Покрито от цитата в същия абзац</t>
        </is>
      </c>
      <c r="F14" s="51" t="inlineStr">
        <is>
          <t>Изречението продължава или тълкува твърдение, цитирано в същия абзац. Повтори скобата, ако абзацът е дълъг.</t>
        </is>
      </c>
      <c r="G14" s="51" t="inlineStr">
        <is>
          <t>Claude (авт.)</t>
        </is>
      </c>
      <c r="H14" s="51" t="inlineStr">
        <is>
          <t>29.08.2026</t>
        </is>
      </c>
    </row>
    <row r="15" ht="46" customHeight="1" s="22">
      <c r="A15" s="49" t="n">
        <v>14</v>
      </c>
      <c r="B15" s="49" t="inlineStr">
        <is>
          <t>2.5</t>
        </is>
      </c>
      <c r="C15" s="49" t="n">
        <v>180</v>
      </c>
      <c r="D15" s="49" t="inlineStr">
        <is>
          <t>Изкушението е тази проверка да бъде възложена на автоматизирани детектори за генериран текст.</t>
        </is>
      </c>
      <c r="E15" s="57" t="inlineStr">
        <is>
          <t>Рамка на изложението — не изисква източник</t>
        </is>
      </c>
      <c r="F15"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5" s="57" t="inlineStr">
        <is>
          <t>Claude (авт.)</t>
        </is>
      </c>
      <c r="H15" s="57" t="inlineStr">
        <is>
          <t>29.08.2026</t>
        </is>
      </c>
    </row>
    <row r="16" ht="46" customHeight="1" s="22">
      <c r="A16" s="49" t="n">
        <v>15</v>
      </c>
      <c r="B16" s="49" t="inlineStr">
        <is>
          <t>2.5</t>
        </is>
      </c>
      <c r="C16" s="49" t="n">
        <v>180</v>
      </c>
      <c r="D16" s="49" t="inlineStr">
        <is>
          <t>Следствието за модела е принципно: критерият за оригиналност и академична коректност не може да бъде операционализиран чрез показанието на детектор.</t>
        </is>
      </c>
      <c r="E16" s="57" t="inlineStr">
        <is>
          <t>Рамка на изложението — не изисква източник</t>
        </is>
      </c>
      <c r="F16"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6" s="57" t="inlineStr">
        <is>
          <t>Claude (авт.)</t>
        </is>
      </c>
      <c r="H16" s="57" t="inlineStr">
        <is>
          <t>29.08.2026</t>
        </is>
      </c>
    </row>
    <row r="17" ht="46" customHeight="1" s="22">
      <c r="A17" s="49" t="n">
        <v>16</v>
      </c>
      <c r="B17" s="49" t="inlineStr">
        <is>
          <t>2.5</t>
        </is>
      </c>
      <c r="C17" s="49" t="n">
        <v>180</v>
      </c>
      <c r="D17" s="49" t="inlineStr">
        <is>
          <t>Устойчивата алтернатива е процедурна — декларирана употреба на генеративни инструменти, проследимост на процеса на създаване и съдържателна съпоставка с източниците — при която коректността се осигурява от документирания процес, а не се гадае от готовия текст.</t>
        </is>
      </c>
      <c r="E17" s="57" t="inlineStr">
        <is>
          <t>Рамка на изложението — не изисква източник</t>
        </is>
      </c>
      <c r="F17"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7" s="57" t="inlineStr">
        <is>
          <t>Claude (авт.)</t>
        </is>
      </c>
      <c r="H17" s="57" t="inlineStr">
        <is>
          <t>29.08.2026</t>
        </is>
      </c>
    </row>
    <row r="18" ht="46" customHeight="1" s="22">
      <c r="A18" s="49" t="n">
        <v>17</v>
      </c>
      <c r="B18" s="49" t="inlineStr">
        <is>
          <t>2.5</t>
        </is>
      </c>
      <c r="C18" s="49" t="n">
        <v>181</v>
      </c>
      <c r="D18" s="49" t="inlineStr">
        <is>
          <t>Оттук произтича и процедурното следствие, което същият анализ формулира: никое решение не бива да се основава единствено на машинен доклад, а резултатът от детектор може да бъде само повод за съдържателна проверка, но не и неин заместител.</t>
        </is>
      </c>
      <c r="E18" s="51" t="inlineStr">
        <is>
          <t>Покрито от цитата в същия абзац</t>
        </is>
      </c>
      <c r="F18" s="51" t="inlineStr">
        <is>
          <t>Изречението продължава или тълкува твърдение, цитирано в същия абзац. Повтори скобата, ако абзацът е дълъг.</t>
        </is>
      </c>
      <c r="G18" s="51" t="inlineStr">
        <is>
          <t>Claude (авт.)</t>
        </is>
      </c>
      <c r="H18" s="51" t="inlineStr">
        <is>
          <t>29.08.2026</t>
        </is>
      </c>
    </row>
    <row r="19" ht="46" customHeight="1" s="22">
      <c r="A19" s="49" t="n">
        <v>18</v>
      </c>
      <c r="B19" s="49" t="inlineStr">
        <is>
          <t>2.7</t>
        </is>
      </c>
      <c r="C19" s="49" t="n">
        <v>193</v>
      </c>
      <c r="D19" s="49" t="inlineStr">
        <is>
          <t>Трето, показателите трябва да са чувствителни към типичните дефицити от точка 2.6 — всеки установен клас дефекти да се улавя от поне един показател, иначе моделът има сляпо петно точно там, където рисковете са документирани.</t>
        </is>
      </c>
      <c r="E19" s="57" t="inlineStr">
        <is>
          <t>Рамка на изложението — не изисква източник</t>
        </is>
      </c>
      <c r="F19"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9" s="57" t="inlineStr">
        <is>
          <t>Claude (авт.)</t>
        </is>
      </c>
      <c r="H19" s="57" t="inlineStr">
        <is>
          <t>29.08.2026</t>
        </is>
      </c>
    </row>
    <row r="20" ht="46" customHeight="1" s="22">
      <c r="A20" s="49" t="n">
        <v>19</v>
      </c>
      <c r="B20" s="49" t="inlineStr">
        <is>
          <t>2.7</t>
        </is>
      </c>
      <c r="C20" s="49" t="n">
        <v>195</v>
      </c>
      <c r="D20" s="49" t="inlineStr">
        <is>
          <t>Моделът трябва да бъде приложим от отделен преподавател с предметна компетентност, без специализирана инфраструктура и без разчитане на автоматични детектори, чиято ненадеждност беше показана.</t>
        </is>
      </c>
      <c r="E20" s="57" t="inlineStr">
        <is>
          <t>Рамка на изложението — не изисква източник</t>
        </is>
      </c>
      <c r="F2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0" s="57" t="inlineStr">
        <is>
          <t>Claude (авт.)</t>
        </is>
      </c>
      <c r="H20" s="57" t="inlineStr">
        <is>
          <t>29.08.2026</t>
        </is>
      </c>
    </row>
    <row r="21" ht="46" customHeight="1" s="22">
      <c r="A21" s="49" t="n">
        <v>20</v>
      </c>
      <c r="B21" s="49" t="inlineStr">
        <is>
          <t>2.7</t>
        </is>
      </c>
      <c r="C21" s="49" t="n">
        <v>195</v>
      </c>
      <c r="D21" s="49" t="inlineStr">
        <is>
          <t>Процедурата трябва да предписва ред на проверката — съдържателната коректност преди формата, тъй като няма смисъл да се шлифова изказът на неверен текст — и да завършва с документиран резултат: попълнена оценъчна карта, която прави оценката проследима и съпоставима между материали и оценители.</t>
        </is>
      </c>
      <c r="E21" s="57" t="inlineStr">
        <is>
          <t>Рамка на изложението — не изисква източник</t>
        </is>
      </c>
      <c r="F21"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1" s="57" t="inlineStr">
        <is>
          <t>Claude (авт.)</t>
        </is>
      </c>
      <c r="H21" s="57" t="inlineStr">
        <is>
          <t>29.08.2026</t>
        </is>
      </c>
    </row>
    <row r="22" ht="46" customHeight="1" s="22">
      <c r="A22" s="49" t="n">
        <v>21</v>
      </c>
      <c r="B22" s="49" t="inlineStr">
        <is>
          <t>2.7</t>
        </is>
      </c>
      <c r="C22" s="49" t="n">
        <v>197</v>
      </c>
      <c r="D22" s="49" t="inlineStr">
        <is>
          <t>Така формулираната спецификация затваря аналитичната част на работата и определя еднозначно задачата на трета глава: да конструира модел, който покрива четирите области с критерии и проверими показатели, измерва ги по скала с праг на допустимост и некомпенсаторно агрегиране, и се прилага по документирана, икономична процедура, изпълнима от отделен преподавател.</t>
        </is>
      </c>
      <c r="E22" s="57" t="inlineStr">
        <is>
          <t>Рамка на изложението — не изисква източник</t>
        </is>
      </c>
      <c r="F22"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2" s="57" t="inlineStr">
        <is>
          <t>Claude (авт.)</t>
        </is>
      </c>
      <c r="H22" s="57" t="inlineStr">
        <is>
          <t>29.08.2026</t>
        </is>
      </c>
    </row>
    <row r="23" ht="46" customHeight="1" s="22">
      <c r="A23" s="49" t="n">
        <v>22</v>
      </c>
      <c r="B23" s="49" t="inlineStr">
        <is>
          <t>Изв.2</t>
        </is>
      </c>
      <c r="C23" s="49" t="n">
        <v>203</v>
      </c>
      <c r="D23" s="49" t="inlineStr">
        <is>
          <t>Четвърто, възможностите за автоматизиране на проверката са ограничени по принцип: автоматичните детектори за генериран текст са ненадеждни, а ключовите проверки — фактологическа, дидактическа, етична — изискват предметна и педагогическа компетентност.</t>
        </is>
      </c>
      <c r="E23" s="51" t="inlineStr">
        <is>
          <t>Покрито от цитата в същия абзац</t>
        </is>
      </c>
      <c r="F23" s="51" t="inlineStr">
        <is>
          <t>Изречението продължава или тълкува твърдение, цитирано в същия абзац. Повтори скобата, ако абзацът е дълъг.</t>
        </is>
      </c>
      <c r="G23" s="51" t="inlineStr">
        <is>
          <t>Claude (авт.)</t>
        </is>
      </c>
      <c r="H23" s="51" t="inlineStr">
        <is>
          <t>29.08.2026</t>
        </is>
      </c>
    </row>
    <row r="24" ht="46" customHeight="1" s="22">
      <c r="A24" s="49" t="n">
        <v>23</v>
      </c>
      <c r="B24" s="49" t="inlineStr">
        <is>
          <t>Изв.2</t>
        </is>
      </c>
      <c r="C24" s="49" t="n">
        <v>204</v>
      </c>
      <c r="D24" s="49" t="inlineStr">
        <is>
          <t>Пето, анализът е обобщен в изрична спецификация на бъдещия модел: четири критерийни области с проверими показатели, чувствителни към установените дефицити; скала с малък брой описателни нива, праг на допустимост и некомпенсаторно агрегиране; документирана, икономична процедура, приложима от отделен преподавател.</t>
        </is>
      </c>
      <c r="E24" s="57" t="inlineStr">
        <is>
          <t>Рамка на изложението — не изисква източник</t>
        </is>
      </c>
      <c r="F24"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4" s="57" t="inlineStr">
        <is>
          <t>Claude (авт.)</t>
        </is>
      </c>
      <c r="H24" s="57" t="inlineStr">
        <is>
          <t>29.08.2026</t>
        </is>
      </c>
    </row>
    <row r="25" ht="46" customHeight="1" s="22">
      <c r="A25" s="49" t="n">
        <v>24</v>
      </c>
      <c r="B25" s="49" t="inlineStr">
        <is>
          <t>3.1</t>
        </is>
      </c>
      <c r="C25" s="49" t="n">
        <v>208</v>
      </c>
      <c r="D25" s="49" t="inlineStr">
        <is>
          <t>Принципът на научната обоснованост изисква всеки елемент на модела да бъде проследим до резултат от предходния анализ или до установен източник в литературата.</t>
        </is>
      </c>
      <c r="E25" s="57" t="inlineStr">
        <is>
          <t>Рамка на изложението — не изисква източник</t>
        </is>
      </c>
      <c r="F25"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5" s="57" t="inlineStr">
        <is>
          <t>Claude (авт.)</t>
        </is>
      </c>
      <c r="H25" s="57" t="inlineStr">
        <is>
          <t>29.08.2026</t>
        </is>
      </c>
    </row>
    <row r="26" ht="46" customHeight="1" s="22">
      <c r="A26" s="49" t="n">
        <v>25</v>
      </c>
      <c r="B26" s="49" t="inlineStr">
        <is>
          <t>3.1</t>
        </is>
      </c>
      <c r="C26" s="49" t="n">
        <v>208</v>
      </c>
      <c r="D26" s="49" t="inlineStr">
        <is>
          <t>В модела не бива да присъства критерий, който не отговаря на документиран риск или на установено педагогическо изискване — иначе инструментът се раздува с проверки, чиято цена не е оправдана.</t>
        </is>
      </c>
      <c r="E26" s="57" t="inlineStr">
        <is>
          <t>Рамка на изложението — не изисква източник</t>
        </is>
      </c>
      <c r="F26"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6" s="57" t="inlineStr">
        <is>
          <t>Claude (авт.)</t>
        </is>
      </c>
      <c r="H26" s="57" t="inlineStr">
        <is>
          <t>29.08.2026</t>
        </is>
      </c>
    </row>
    <row r="27" ht="46" customHeight="1" s="22">
      <c r="A27" s="49" t="n">
        <v>26</v>
      </c>
      <c r="B27" s="49" t="inlineStr">
        <is>
          <t>3.1</t>
        </is>
      </c>
      <c r="C27" s="49" t="n">
        <v>209</v>
      </c>
      <c r="D27" s="49" t="inlineStr">
        <is>
          <t>Принципът на приложимостта поставя модела в реалните условия на неговия потребител: отделен преподавател с предметна компетентност, без специализирана инфраструктура, без достъп до вградените механизми за контрол на затворени системи и без надеждни автоматични детектори.</t>
        </is>
      </c>
      <c r="E27" s="57" t="inlineStr">
        <is>
          <t>Рамка на изложението — не изисква източник</t>
        </is>
      </c>
      <c r="F27"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7" s="57" t="inlineStr">
        <is>
          <t>Claude (авт.)</t>
        </is>
      </c>
      <c r="H27" s="57" t="inlineStr">
        <is>
          <t>29.08.2026</t>
        </is>
      </c>
    </row>
    <row r="28" ht="46" customHeight="1" s="22">
      <c r="A28" s="49" t="n">
        <v>27</v>
      </c>
      <c r="B28" s="49" t="inlineStr">
        <is>
          <t>3.2</t>
        </is>
      </c>
      <c r="C28" s="49" t="n">
        <v>215</v>
      </c>
      <c r="D28" s="49" t="inlineStr">
        <is>
          <t>Вместо това крайният резултат е профил: четири областни оценки плюс обща категория за допустимост, която се определя от най-ниската областна оценка спрямо прага.</t>
        </is>
      </c>
      <c r="E28" s="57" t="inlineStr">
        <is>
          <t>Рамка на изложението — не изисква източник</t>
        </is>
      </c>
      <c r="F28"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8" s="57" t="inlineStr">
        <is>
          <t>Claude (авт.)</t>
        </is>
      </c>
      <c r="H28" s="57" t="inlineStr">
        <is>
          <t>29.08.2026</t>
        </is>
      </c>
    </row>
    <row r="29" ht="46" customHeight="1" s="22">
      <c r="A29" s="49" t="n">
        <v>28</v>
      </c>
      <c r="B29" s="49" t="inlineStr">
        <is>
          <t>3.2</t>
        </is>
      </c>
      <c r="C29" s="49" t="n">
        <v>216</v>
      </c>
      <c r="D29" s="49" t="inlineStr">
        <is>
          <t>Редът на прилагане е фиксиран и започва с нулева стъпка: преди всяка оценка се установява декларираният контекст на материала — учебни цели, аудитория, място в курса — защото без него дидактическите показатели нямат еталон за сравнение.</t>
        </is>
      </c>
      <c r="E29" s="57" t="inlineStr">
        <is>
          <t>Рамка на изложението — не изисква източник</t>
        </is>
      </c>
      <c r="F29"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9" s="57" t="inlineStr">
        <is>
          <t>Claude (авт.)</t>
        </is>
      </c>
      <c r="H29" s="57" t="inlineStr">
        <is>
          <t>29.08.2026</t>
        </is>
      </c>
    </row>
    <row r="30" ht="46" customHeight="1" s="22">
      <c r="A30" s="49" t="n">
        <v>29</v>
      </c>
      <c r="B30" s="49" t="inlineStr">
        <is>
          <t>3.2</t>
        </is>
      </c>
      <c r="C30" s="49" t="n">
        <v>217</v>
      </c>
      <c r="D30" s="49" t="inlineStr">
        <is>
          <t>Той не е автоматичен детектор — не се произнася дали материалът е генериран, а дали е годен.</t>
        </is>
      </c>
      <c r="E30" s="57" t="inlineStr">
        <is>
          <t>Рамка на изложението — не изисква източник</t>
        </is>
      </c>
      <c r="F3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0" s="57" t="inlineStr">
        <is>
          <t>Claude (авт.)</t>
        </is>
      </c>
      <c r="H30" s="57" t="inlineStr">
        <is>
          <t>29.08.2026</t>
        </is>
      </c>
    </row>
    <row r="31" ht="46" customHeight="1" s="22">
      <c r="A31" s="49" t="n">
        <v>30</v>
      </c>
      <c r="B31" s="49" t="inlineStr">
        <is>
          <t>3.3</t>
        </is>
      </c>
      <c r="C31" s="49" t="n">
        <v>219</v>
      </c>
      <c r="D31" s="49" t="inlineStr">
        <is>
          <t>Формулировките на показателите са утвърдителни — те описват състоянието на годния материал, а оценяващият установява доколко конкретният материал им съответства.</t>
        </is>
      </c>
      <c r="E31" s="57" t="inlineStr">
        <is>
          <t>Рамка на изложението — не изисква източник</t>
        </is>
      </c>
      <c r="F31"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1" s="57" t="inlineStr">
        <is>
          <t>Claude (авт.)</t>
        </is>
      </c>
      <c r="H31" s="57" t="inlineStr">
        <is>
          <t>29.08.2026</t>
        </is>
      </c>
    </row>
    <row r="32" ht="46" customHeight="1" s="22">
      <c r="A32" s="49" t="n">
        <v>31</v>
      </c>
      <c r="B32" s="49" t="inlineStr">
        <is>
          <t>3.3</t>
        </is>
      </c>
      <c r="C32" s="49" t="n">
        <v>221</v>
      </c>
      <c r="D32" s="49" t="inlineStr">
        <is>
          <t>Първо, заявката е единственият документиран и проверим ориентир: съответствието се установява с преброяване, а не с преценка.</t>
        </is>
      </c>
      <c r="E32" s="57" t="inlineStr">
        <is>
          <t>Рамка на изложението — не изисква източник</t>
        </is>
      </c>
      <c r="F32"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2" s="57" t="inlineStr">
        <is>
          <t>Claude (авт.)</t>
        </is>
      </c>
      <c r="H32" s="57" t="inlineStr">
        <is>
          <t>29.08.2026</t>
        </is>
      </c>
    </row>
    <row r="33" ht="46" customHeight="1" s="22">
      <c r="A33" s="49" t="n">
        <v>32</v>
      </c>
      <c r="B33" s="49" t="inlineStr">
        <is>
          <t>3.3</t>
        </is>
      </c>
      <c r="C33" s="49" t="n">
        <v>222</v>
      </c>
      <c r="D33" s="49" t="inlineStr">
        <is>
          <t>В редица предметни области утвърдена терминология на езика на материала може изобщо да не съществува: липсват официален превод и терминологичен стандарт, а практиката съчетава домашен и чужд термин според предпочитанието на отделния автор.</t>
        </is>
      </c>
      <c r="E33" s="55" t="inlineStr">
        <is>
          <t>Нужен източник — намерен</t>
        </is>
      </c>
      <c r="F33" s="55" t="inlineStr">
        <is>
          <t>НАНЕСЕНО: липсата на утвърдена терминология вече се свързва с документираната неравномерност на езиковото покритие [19] и [10].</t>
        </is>
      </c>
      <c r="G33" s="55" t="inlineStr">
        <is>
          <t>Claude (авт.)</t>
        </is>
      </c>
      <c r="H33" s="55" t="inlineStr">
        <is>
          <t>29.08.2026</t>
        </is>
      </c>
    </row>
    <row r="34" ht="46" customHeight="1" s="22">
      <c r="A34" s="49" t="n">
        <v>33</v>
      </c>
      <c r="B34" s="49" t="inlineStr">
        <is>
          <t>3.3</t>
        </is>
      </c>
      <c r="C34" s="49" t="n">
        <v>223</v>
      </c>
      <c r="D34" s="49" t="inlineStr">
        <is>
          <t>Част от този изход не е текст, а интерактивен обект, който съществува единствено в средата на самия инструмент: той не се пренася в система за управление на обучението, не се архивира и изчезва при износ във файл.</t>
        </is>
      </c>
      <c r="E34" s="57" t="inlineStr">
        <is>
          <t>Рамка на изложението — не изисква източник</t>
        </is>
      </c>
      <c r="F34" s="57" t="inlineStr">
        <is>
          <t>Наблюдение от собственото апробиране, докладвано в глава 3. Не изисква външен източник.</t>
        </is>
      </c>
      <c r="G34" s="57" t="inlineStr">
        <is>
          <t>Claude (авт.)</t>
        </is>
      </c>
      <c r="H34" s="57" t="inlineStr">
        <is>
          <t>29.08.2026</t>
        </is>
      </c>
    </row>
    <row r="35" ht="46" customHeight="1" s="22">
      <c r="A35" s="49" t="n">
        <v>34</v>
      </c>
      <c r="B35" s="49" t="inlineStr">
        <is>
          <t>3.3</t>
        </is>
      </c>
      <c r="C35" s="49" t="n">
        <v>223</v>
      </c>
      <c r="D35" s="49" t="inlineStr">
        <is>
          <t>Показателят П23 установява именно това: запазва ли всеки елемент функцията си, след като материалът бъде изнесен във формата, в която ще бъде предоставен.</t>
        </is>
      </c>
      <c r="E35" s="57" t="inlineStr">
        <is>
          <t>Рамка на изложението — не изисква източник</t>
        </is>
      </c>
      <c r="F35"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5" s="57" t="inlineStr">
        <is>
          <t>Claude (авт.)</t>
        </is>
      </c>
      <c r="H35" s="57" t="inlineStr">
        <is>
          <t>29.08.2026</t>
        </is>
      </c>
    </row>
    <row r="36" ht="46" customHeight="1" s="22">
      <c r="A36" s="49" t="n">
        <v>35</v>
      </c>
      <c r="B36" s="49" t="inlineStr">
        <is>
          <t>3.3</t>
        </is>
      </c>
      <c r="C36" s="49" t="n">
        <v>225</v>
      </c>
      <c r="D36" s="49" t="inlineStr">
        <is>
          <t>К13 „Оригиналност": П24 — характерни пасажи от материала не показват близост до защитени източници при съпоставка; П25 — действително заетите елементи са обозначени.</t>
        </is>
      </c>
      <c r="E36" s="57" t="inlineStr">
        <is>
          <t>Рамка на изложението — не изисква източник</t>
        </is>
      </c>
      <c r="F36"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6" s="57" t="inlineStr">
        <is>
          <t>Claude (авт.)</t>
        </is>
      </c>
      <c r="H36" s="57" t="inlineStr">
        <is>
          <t>29.08.2026</t>
        </is>
      </c>
    </row>
    <row r="37" ht="46" customHeight="1" s="22">
      <c r="A37" s="49" t="n">
        <v>36</v>
      </c>
      <c r="B37" s="49" t="inlineStr">
        <is>
          <t>3.3</t>
        </is>
      </c>
      <c r="C37" s="49" t="n">
        <v>227</v>
      </c>
      <c r="D37" s="49" t="inlineStr">
        <is>
          <t>Оценъчната карта установява свойства на оценявания материал, а генериран текст по никакъв начин не съдържа декларация за собствения си произход: инструментът няма основание да я постави, а жанрът на учебния материал не я предвижда.</t>
        </is>
      </c>
      <c r="E37" s="57" t="inlineStr">
        <is>
          <t>Рамка на изложението — не изисква източник</t>
        </is>
      </c>
      <c r="F37"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7" s="57" t="inlineStr">
        <is>
          <t>Claude (авт.)</t>
        </is>
      </c>
      <c r="H37" s="57" t="inlineStr">
        <is>
          <t>29.08.2026</t>
        </is>
      </c>
    </row>
    <row r="38" ht="46" customHeight="1" s="22">
      <c r="A38" s="49" t="n">
        <v>37</v>
      </c>
      <c r="B38" s="49" t="inlineStr">
        <is>
          <t>3.3</t>
        </is>
      </c>
      <c r="C38" s="49" t="n">
        <v>227</v>
      </c>
      <c r="D38" s="49" t="inlineStr">
        <is>
          <t>Твърдение, чиято стойност е предизвестена, независимо какъв материал се оценява, не установява негово свойство и присъствието му сред показателите утежнява оценяването, без да различава материалите помежду им.</t>
        </is>
      </c>
      <c r="E38" s="57" t="inlineStr">
        <is>
          <t>Рамка на изложението — не изисква източник</t>
        </is>
      </c>
      <c r="F38"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8" s="57" t="inlineStr">
        <is>
          <t>Claude (авт.)</t>
        </is>
      </c>
      <c r="H38" s="57" t="inlineStr">
        <is>
          <t>29.08.2026</t>
        </is>
      </c>
    </row>
    <row r="39" ht="46" customHeight="1" s="22">
      <c r="A39" s="49" t="n">
        <v>38</v>
      </c>
      <c r="B39" s="49" t="inlineStr">
        <is>
          <t>3.3</t>
        </is>
      </c>
      <c r="C39" s="49" t="n">
        <v>229</v>
      </c>
      <c r="D39" s="49" t="inlineStr">
        <is>
          <t>Правилото има и обратна половина, без която показателят би бил неприложим: принуденият избор не доказва нищо.</t>
        </is>
      </c>
      <c r="E39" s="57" t="inlineStr">
        <is>
          <t>Рамка на изложението — не изисква източник</t>
        </is>
      </c>
      <c r="F39"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9" s="57" t="inlineStr">
        <is>
          <t>Claude (авт.)</t>
        </is>
      </c>
      <c r="H39" s="57" t="inlineStr">
        <is>
          <t>29.08.2026</t>
        </is>
      </c>
    </row>
    <row r="40" ht="46" customHeight="1" s="22">
      <c r="A40" s="49" t="n">
        <v>39</v>
      </c>
      <c r="B40" s="49" t="inlineStr">
        <is>
          <t>3.3</t>
        </is>
      </c>
      <c r="C40" s="49" t="n">
        <v>229</v>
      </c>
      <c r="D40" s="49" t="inlineStr">
        <is>
          <t>Когато предметната материя налага определена форма — минимален пример за употреба на дадена конструкция, стандартна последователност на стъпките в утвърдена процедура, канонична формулировка на определение — авторът не разполага със свобода и всеки коректен текст неизбежно ще прилича на останалите.</t>
        </is>
      </c>
      <c r="E40" s="57" t="inlineStr">
        <is>
          <t>Рамка на изложението — не изисква източник</t>
        </is>
      </c>
      <c r="F4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0" s="57" t="inlineStr">
        <is>
          <t>Claude (авт.)</t>
        </is>
      </c>
      <c r="H40" s="57" t="inlineStr">
        <is>
          <t>29.08.2026</t>
        </is>
      </c>
    </row>
    <row r="41" ht="46" customHeight="1" s="22">
      <c r="A41" s="49" t="n">
        <v>40</v>
      </c>
      <c r="B41" s="49" t="inlineStr">
        <is>
          <t>3.3</t>
        </is>
      </c>
      <c r="C41" s="49" t="n">
        <v>230</v>
      </c>
      <c r="D41" s="49" t="inlineStr">
        <is>
          <t>Автоматичните средства за проверка на оригиналността не извършват междуезикова съпоставка, а детекторите за генериран текст, чиято ненадеждност беше показана в точка 2.5, изобщо не адресират този въпрос.</t>
        </is>
      </c>
      <c r="E41" s="55" t="inlineStr">
        <is>
          <t>Пренаписано</t>
        </is>
      </c>
      <c r="F41" s="55" t="inlineStr">
        <is>
          <t>НАНЕСЕНО: „Автоматичните средства … не извършват“ стана „Наличните средства, използвани в апробирането“. Общото твърдение за всички инструменти не беше проверимо.</t>
        </is>
      </c>
      <c r="G41" s="55" t="inlineStr">
        <is>
          <t>Claude (авт.)</t>
        </is>
      </c>
      <c r="H41" s="55" t="inlineStr">
        <is>
          <t>29.08.2026</t>
        </is>
      </c>
    </row>
    <row r="42" ht="46" customHeight="1" s="22">
      <c r="A42" s="49" t="n">
        <v>41</v>
      </c>
      <c r="B42" s="49" t="inlineStr">
        <is>
          <t>3.3</t>
        </is>
      </c>
      <c r="C42" s="49" t="n">
        <v>231</v>
      </c>
      <c r="D42" s="49" t="inlineStr">
        <is>
          <t>Числото не е самоцелно: всеки показател отговаря на документиран в анализа риск, и обратно — всеки типичен дефицит от точка 2.6 се улавя от поне един показател, което изпълнява изискването за пълнота от точка 2.7.</t>
        </is>
      </c>
      <c r="E42" s="57" t="inlineStr">
        <is>
          <t>Рамка на изложението — не изисква източник</t>
        </is>
      </c>
      <c r="F42"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2" s="57" t="inlineStr">
        <is>
          <t>Claude (авт.)</t>
        </is>
      </c>
      <c r="H42" s="57" t="inlineStr">
        <is>
          <t>29.08.2026</t>
        </is>
      </c>
    </row>
    <row r="43" ht="46" customHeight="1" s="22">
      <c r="A43" s="49" t="n">
        <v>42</v>
      </c>
      <c r="B43" s="49" t="inlineStr">
        <is>
          <t>3.3</t>
        </is>
      </c>
      <c r="C43" s="49" t="n">
        <v>231</v>
      </c>
      <c r="D43" s="49" t="inlineStr">
        <is>
          <t>Нито един показател не съдържа изискване, специфично за конкретна езикова система: областта О3 борави с отношения — съответствие между изказа и аудиторията, еднозначност на употребата, естественост спрямо езика на материала — които се установяват в рамките на съответния език, какъвто и да е той.</t>
        </is>
      </c>
      <c r="E43" s="57" t="inlineStr">
        <is>
          <t>Рамка на изложението — не изисква източник</t>
        </is>
      </c>
      <c r="F43"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3" s="57" t="inlineStr">
        <is>
          <t>Claude (авт.)</t>
        </is>
      </c>
      <c r="H43" s="57" t="inlineStr">
        <is>
          <t>29.08.2026</t>
        </is>
      </c>
    </row>
    <row r="44" ht="46" customHeight="1" s="22">
      <c r="A44" s="49" t="n">
        <v>43</v>
      </c>
      <c r="B44" s="49" t="inlineStr">
        <is>
          <t>3.4</t>
        </is>
      </c>
      <c r="C44" s="49" t="n">
        <v>235</v>
      </c>
      <c r="D44" s="49" t="inlineStr">
        <is>
          <t>Крайното равнище на материала се определя некомпенсаторно: то е най-ниското от четирите областни равнища и носи същото наименование.</t>
        </is>
      </c>
      <c r="E44" s="57" t="inlineStr">
        <is>
          <t>Рамка на изложението — не изисква източник</t>
        </is>
      </c>
      <c r="F44"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4" s="57" t="inlineStr">
        <is>
          <t>Claude (авт.)</t>
        </is>
      </c>
      <c r="H44" s="57" t="inlineStr">
        <is>
          <t>29.08.2026</t>
        </is>
      </c>
    </row>
    <row r="45" ht="46" customHeight="1" s="22">
      <c r="A45" s="49" t="n">
        <v>44</v>
      </c>
      <c r="B45" s="49" t="inlineStr">
        <is>
          <t>3.4</t>
        </is>
      </c>
      <c r="C45" s="49" t="n">
        <v>235</v>
      </c>
      <c r="D45" s="49" t="inlineStr">
        <is>
          <t>В такъв случай крайното равнище е равнището на съдържателната област, а профилът по области показва еднозначно защо.</t>
        </is>
      </c>
      <c r="E45" s="57" t="inlineStr">
        <is>
          <t>Рамка на изложението — не изисква източник</t>
        </is>
      </c>
      <c r="F45"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5" s="57" t="inlineStr">
        <is>
          <t>Claude (авт.)</t>
        </is>
      </c>
      <c r="H45" s="57" t="inlineStr">
        <is>
          <t>29.08.2026</t>
        </is>
      </c>
    </row>
    <row r="46" ht="46" customHeight="1" s="22">
      <c r="A46" s="49" t="n">
        <v>45</v>
      </c>
      <c r="B46" s="49" t="inlineStr">
        <is>
          <t>3.5</t>
        </is>
      </c>
      <c r="C46" s="49" t="n">
        <v>243</v>
      </c>
      <c r="D46" s="49" t="inlineStr">
        <is>
          <t>Попълнената карта изпълнява едновременно три функции: тя е оценка на конкретния материал, документиран протокол, който прави оценката проследима и съпоставима, и техническо задание за преработка, когато материалът не достига най-високото равнище.</t>
        </is>
      </c>
      <c r="E46" s="57" t="inlineStr">
        <is>
          <t>Рамка на изложението — не изисква източник</t>
        </is>
      </c>
      <c r="F46"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6" s="57" t="inlineStr">
        <is>
          <t>Claude (авт.)</t>
        </is>
      </c>
      <c r="H46" s="57" t="inlineStr">
        <is>
          <t>29.08.2026</t>
        </is>
      </c>
    </row>
    <row r="47" ht="46" customHeight="1" s="22">
      <c r="A47" s="49" t="n">
        <v>46</v>
      </c>
      <c r="B47" s="49" t="inlineStr">
        <is>
          <t>3.6</t>
        </is>
      </c>
      <c r="C47" s="49" t="n">
        <v>245</v>
      </c>
      <c r="D47" s="49" t="inlineStr">
        <is>
          <t>Тестът за нейната готовност е формулиран още в плана на изследването: процедурата е достатъчно конкретна тогава, когато може да бъде приложена от друг преподавател без участието на автора.</t>
        </is>
      </c>
      <c r="E47" s="57" t="inlineStr">
        <is>
          <t>Рамка на изложението — не изисква източник</t>
        </is>
      </c>
      <c r="F47"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7" s="57" t="inlineStr">
        <is>
          <t>Claude (авт.)</t>
        </is>
      </c>
      <c r="H47" s="57" t="inlineStr">
        <is>
          <t>29.08.2026</t>
        </is>
      </c>
    </row>
    <row r="48" ht="46" customHeight="1" s="22">
      <c r="A48" s="49" t="n">
        <v>47</v>
      </c>
      <c r="B48" s="49" t="inlineStr">
        <is>
          <t>3.6</t>
        </is>
      </c>
      <c r="C48" s="49" t="n">
        <v>246</v>
      </c>
      <c r="D48" s="49" t="inlineStr">
        <is>
          <t>Ако целите и аудиторията не са документирани, те се възстановяват от заявката, с която материалът е генериран; ако и това е невъзможно, оценяването спира — материал без установим учебен контекст не подлежи на дидактическа оценка.</t>
        </is>
      </c>
      <c r="E48" s="57" t="inlineStr">
        <is>
          <t>Рамка на изложението — не изисква източник</t>
        </is>
      </c>
      <c r="F48"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8" s="57" t="inlineStr">
        <is>
          <t>Claude (авт.)</t>
        </is>
      </c>
      <c r="H48" s="57" t="inlineStr">
        <is>
          <t>29.08.2026</t>
        </is>
      </c>
    </row>
    <row r="49" ht="46" customHeight="1" s="22">
      <c r="A49" s="49" t="n">
        <v>48</v>
      </c>
      <c r="B49" s="49" t="inlineStr">
        <is>
          <t>3.6</t>
        </is>
      </c>
      <c r="C49" s="49" t="n">
        <v>246</v>
      </c>
      <c r="D49" s="49" t="inlineStr">
        <is>
          <t>Материалът се чете изцяло, като всяко съществено твърдение се съпоставя с независим източник — официална документация, учебна литература, стандарт; примерите с програмен код се изпълняват в декларираната среда.</t>
        </is>
      </c>
      <c r="E49" s="57" t="inlineStr">
        <is>
          <t>Рамка на изложението — не изисква източник</t>
        </is>
      </c>
      <c r="F49"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9" s="57" t="inlineStr">
        <is>
          <t>Claude (авт.)</t>
        </is>
      </c>
      <c r="H49" s="57" t="inlineStr">
        <is>
          <t>29.08.2026</t>
        </is>
      </c>
    </row>
    <row r="50" ht="46" customHeight="1" s="22">
      <c r="A50" s="49" t="n">
        <v>49</v>
      </c>
      <c r="B50" s="49" t="inlineStr">
        <is>
          <t>3.6</t>
        </is>
      </c>
      <c r="C50" s="49" t="n">
        <v>249</v>
      </c>
      <c r="D50" s="49" t="inlineStr">
        <is>
          <t>Точка 2.5 установява, че академичната почтеност при генерирано съдържание не може да бъде проверена в готовия текст, защото автоматичните детектори не са достатъчно надеждни, а при езиците с ограничено присъствие в обучителните им данни са и по-неточни.</t>
        </is>
      </c>
      <c r="E50" s="57" t="inlineStr">
        <is>
          <t>Рамка на изложението — не изисква източник</t>
        </is>
      </c>
      <c r="F5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0" s="57" t="inlineStr">
        <is>
          <t>Claude (авт.)</t>
        </is>
      </c>
      <c r="H50" s="57" t="inlineStr">
        <is>
          <t>29.08.2026</t>
        </is>
      </c>
    </row>
    <row r="51" ht="46" customHeight="1" s="22">
      <c r="A51" s="49" t="n">
        <v>50</v>
      </c>
      <c r="B51" s="49" t="inlineStr">
        <is>
          <t>3.7</t>
        </is>
      </c>
      <c r="C51" s="49" t="n">
        <v>253</v>
      </c>
      <c r="D51" s="49" t="inlineStr">
        <is>
          <t>Генерирането следва документиран протокол, приложен в цялост към работата.</t>
        </is>
      </c>
      <c r="E51" s="57" t="inlineStr">
        <is>
          <t>Рамка на изложението — не изисква източник</t>
        </is>
      </c>
      <c r="F51"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1" s="57" t="inlineStr">
        <is>
          <t>Claude (авт.)</t>
        </is>
      </c>
      <c r="H51" s="57" t="inlineStr">
        <is>
          <t>29.08.2026</t>
        </is>
      </c>
    </row>
    <row r="52" ht="46" customHeight="1" s="22">
      <c r="A52" s="49" t="n">
        <v>51</v>
      </c>
      <c r="B52" s="49" t="inlineStr">
        <is>
          <t>3.7</t>
        </is>
      </c>
      <c r="C52" s="49" t="n">
        <v>253</v>
      </c>
      <c r="D52" s="49" t="inlineStr">
        <is>
          <t>За всяка сесия са документирани инструментът, версията на модела, режимът на работа, датата и пълната заявка; зададената аудитория, учебните цели и целевият обем се съдържат в самата заявка, а броят на последващите взаимодействия (нула за всички материали) и отсъствието на редакция са отразени в протокола.</t>
        </is>
      </c>
      <c r="E52" s="57" t="inlineStr">
        <is>
          <t>Рамка на изложението — не изисква източник</t>
        </is>
      </c>
      <c r="F52"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2" s="57" t="inlineStr">
        <is>
          <t>Claude (авт.)</t>
        </is>
      </c>
      <c r="H52" s="57" t="inlineStr">
        <is>
          <t>29.08.2026</t>
        </is>
      </c>
    </row>
    <row r="53" ht="46" customHeight="1" s="22">
      <c r="A53" s="49" t="n">
        <v>52</v>
      </c>
      <c r="B53" s="49" t="inlineStr">
        <is>
          <t>3.7</t>
        </is>
      </c>
      <c r="C53" s="49" t="n">
        <v>253</v>
      </c>
      <c r="D53" s="49" t="inlineStr">
        <is>
          <t>Този начин на снемане има документирано следствие, отчетено при оценяването: съдържание, което инструментът представя като интерактивен обект в собствения си интерфейс, не се пренася в текстовия запис и на негово място остава празно място.</t>
        </is>
      </c>
      <c r="E53" s="57" t="inlineStr">
        <is>
          <t>Рамка на изложението — не изисква източник</t>
        </is>
      </c>
      <c r="F53"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3" s="57" t="inlineStr">
        <is>
          <t>Claude (авт.)</t>
        </is>
      </c>
      <c r="H53" s="57" t="inlineStr">
        <is>
          <t>29.08.2026</t>
        </is>
      </c>
    </row>
    <row r="54" ht="46" customHeight="1" s="22">
      <c r="A54" s="49" t="n">
        <v>53</v>
      </c>
      <c r="B54" s="49" t="inlineStr">
        <is>
          <t>3.7</t>
        </is>
      </c>
      <c r="C54" s="49" t="n">
        <v>253</v>
      </c>
      <c r="D54" s="49" t="inlineStr">
        <is>
          <t>Обстоятелството не е недостатък на записа, а свойство на канала, и е точно това, което показателят П23 установява; при генериране през приложно-програмен интерфейс или команден ред изходът е самостоятелен документ и такава загуба не настъпва.</t>
        </is>
      </c>
      <c r="E54" s="57" t="inlineStr">
        <is>
          <t>Рамка на изложението — не изисква източник</t>
        </is>
      </c>
      <c r="F54"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4" s="57" t="inlineStr">
        <is>
          <t>Claude (авт.)</t>
        </is>
      </c>
      <c r="H54" s="57" t="inlineStr">
        <is>
          <t>29.08.2026</t>
        </is>
      </c>
    </row>
    <row r="55" ht="46" customHeight="1" s="22">
      <c r="A55" s="49" t="n">
        <v>54</v>
      </c>
      <c r="B55" s="49" t="inlineStr">
        <is>
          <t>3.7</t>
        </is>
      </c>
      <c r="C55" s="49" t="n">
        <v>253</v>
      </c>
      <c r="D55" s="49" t="inlineStr">
        <is>
          <t>Протоколът обслужва две изисквания едновременно: методологическата чистота — оценява се генерираният материал, а не последващата му човешка редакция — и изискването за документиран процес на създаване, което самият модел поставя в област О4.</t>
        </is>
      </c>
      <c r="E55" s="57" t="inlineStr">
        <is>
          <t>Рамка на изложението — не изисква източник</t>
        </is>
      </c>
      <c r="F55"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5" s="57" t="inlineStr">
        <is>
          <t>Claude (авт.)</t>
        </is>
      </c>
      <c r="H55" s="57" t="inlineStr">
        <is>
          <t>29.08.2026</t>
        </is>
      </c>
    </row>
    <row r="56" ht="46" customHeight="1" s="22">
      <c r="A56" s="49" t="n">
        <v>55</v>
      </c>
      <c r="B56" s="49" t="inlineStr">
        <is>
          <t>3.7</t>
        </is>
      </c>
      <c r="C56" s="49" t="n">
        <v>254</v>
      </c>
      <c r="D56" s="49" t="inlineStr">
        <is>
          <t>За еталон при проверката е приета официалната документация на рамката към датата на оценяването, а не към датата на генериране на материалите; референтната версия и датата на справката се вписват в заглавната част на всяка оценъчна карта.</t>
        </is>
      </c>
      <c r="E56" s="57" t="inlineStr">
        <is>
          <t>Рамка на изложението — не изисква източник</t>
        </is>
      </c>
      <c r="F56"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6" s="57" t="inlineStr">
        <is>
          <t>Claude (авт.)</t>
        </is>
      </c>
      <c r="H56" s="57" t="inlineStr">
        <is>
          <t>29.08.2026</t>
        </is>
      </c>
    </row>
    <row r="57" ht="46" customHeight="1" s="22">
      <c r="A57" s="49" t="n">
        <v>56</v>
      </c>
      <c r="B57" s="49" t="inlineStr">
        <is>
          <t>3.7</t>
        </is>
      </c>
      <c r="C57" s="49" t="n">
        <v>256</v>
      </c>
      <c r="D57" s="49" t="inlineStr">
        <is>
          <t>Оценяването се извършва по процедурата от точка 3.6: за всеки от шестте материала се попълва оценъчна карта по образеца от точка 3.5, с оценки по двадесет и седемте показателя, доказателства за всяка констатация, областни нива, крайно равнище и списък с препоръчани корекции; регистрира се и времето за оценяване на всеки материал като проверка на изискването за икономичност.</t>
        </is>
      </c>
      <c r="E57" s="57" t="inlineStr">
        <is>
          <t>Рамка на изложението — не изисква източник</t>
        </is>
      </c>
      <c r="F57"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7" s="57" t="inlineStr">
        <is>
          <t>Claude (авт.)</t>
        </is>
      </c>
      <c r="H57" s="57" t="inlineStr">
        <is>
          <t>29.08.2026</t>
        </is>
      </c>
    </row>
    <row r="58" ht="46" customHeight="1" s="22">
      <c r="A58" s="49" t="n">
        <v>57</v>
      </c>
      <c r="B58" s="49" t="inlineStr">
        <is>
          <t>3.7</t>
        </is>
      </c>
      <c r="C58" s="49" t="n">
        <v>257</v>
      </c>
      <c r="D58" s="49" t="inlineStr">
        <is>
          <t>Първо, професионален опит в разработката на уеб приложения с продължителност над десет години, от които осем — непосредствена работа с рамката Angular.</t>
        </is>
      </c>
      <c r="E58" s="57" t="inlineStr">
        <is>
          <t>Рамка на изложението — не изисква източник</t>
        </is>
      </c>
      <c r="F58"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8" s="57" t="inlineStr">
        <is>
          <t>Claude (авт.)</t>
        </is>
      </c>
      <c r="H58" s="57" t="inlineStr">
        <is>
          <t>29.08.2026</t>
        </is>
      </c>
    </row>
    <row r="59" ht="46" customHeight="1" s="22">
      <c r="A59" s="49" t="n">
        <v>58</v>
      </c>
      <c r="B59" s="49" t="inlineStr">
        <is>
          <t>3.7</t>
        </is>
      </c>
      <c r="C59" s="49" t="n">
        <v>257</v>
      </c>
      <c r="D59" s="49" t="inlineStr">
        <is>
          <t>Този период обхваща множество основни издания на рамката, включително миграции между тях, което е пряко относимо към проверката по показателите за актуалност: тя изисква познаване не само на текущото състояние, но и на това кои конструкции са отпаднали и в кое издание.</t>
        </is>
      </c>
      <c r="E59" s="57" t="inlineStr">
        <is>
          <t>Рамка на изложението — не изисква източник</t>
        </is>
      </c>
      <c r="F59"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9" s="57" t="inlineStr">
        <is>
          <t>Claude (авт.)</t>
        </is>
      </c>
      <c r="H59" s="57" t="inlineStr">
        <is>
          <t>29.08.2026</t>
        </is>
      </c>
    </row>
    <row r="60" ht="46" customHeight="1" s="22">
      <c r="A60" s="49" t="n">
        <v>59</v>
      </c>
      <c r="B60" s="49" t="inlineStr">
        <is>
          <t>3.7</t>
        </is>
      </c>
      <c r="C60" s="49" t="n">
        <v>257</v>
      </c>
      <c r="D60" s="49" t="inlineStr">
        <is>
          <t>Трето, опит в обучението и наставничеството на по-млади специалисти, който осигурява необходимия за дидактическите показатели поглед върху типичните затруднения на начинаещите в тази предметна област.</t>
        </is>
      </c>
      <c r="E60" s="57" t="inlineStr">
        <is>
          <t>Рамка на изложението — не изисква източник</t>
        </is>
      </c>
      <c r="F6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60" s="57" t="inlineStr">
        <is>
          <t>Claude (авт.)</t>
        </is>
      </c>
      <c r="H60" s="57" t="inlineStr">
        <is>
          <t>29.08.2026</t>
        </is>
      </c>
    </row>
  </sheetData>
  <autoFilter ref="A1:H6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outlineLevelCol="0"/>
  <cols>
    <col width="5" customWidth="1" style="22" min="1" max="1"/>
    <col width="12" customWidth="1" style="22" min="2" max="2"/>
    <col width="24" customWidth="1" style="22" min="3" max="3"/>
    <col width="52" customWidth="1" style="22" min="4" max="4"/>
    <col width="52" customWidth="1" style="22" min="5" max="5"/>
    <col width="34" customWidth="1" style="22" min="6" max="6"/>
    <col width="30" customWidth="1" style="22" min="7" max="7"/>
    <col width="60" customWidth="1" style="22" min="8" max="8"/>
    <col width="34" customWidth="1" style="22" min="9" max="9"/>
    <col width="12" customWidth="1" style="22" min="10" max="10"/>
  </cols>
  <sheetData>
    <row r="1">
      <c r="A1" s="64" t="inlineStr">
        <is>
          <t>№</t>
        </is>
      </c>
      <c r="B1" s="64" t="inlineStr">
        <is>
          <t>Файл</t>
        </is>
      </c>
      <c r="C1" s="64" t="inlineStr">
        <is>
          <t>Раздел / абзац</t>
        </is>
      </c>
      <c r="D1" s="64" t="inlineStr">
        <is>
          <t>Какво беше</t>
        </is>
      </c>
      <c r="E1" s="64" t="inlineStr">
        <is>
          <t>Какво стана</t>
        </is>
      </c>
      <c r="F1" s="64" t="inlineStr">
        <is>
          <t>Основание</t>
        </is>
      </c>
      <c r="G1" s="64" t="inlineStr">
        <is>
          <t>Източник</t>
        </is>
      </c>
      <c r="H1" s="64" t="inlineStr">
        <is>
          <t>Извадка от източника (дословно)</t>
        </is>
      </c>
      <c r="I1" s="64" t="inlineStr">
        <is>
          <t>Линк</t>
        </is>
      </c>
      <c r="J1" s="64" t="inlineStr">
        <is>
          <t>Дата</t>
        </is>
      </c>
    </row>
    <row r="2" ht="110" customHeight="1" s="22">
      <c r="A2" s="65" t="n">
        <v>1</v>
      </c>
      <c r="B2" s="65" t="inlineStr">
        <is>
          <t>МТ + НИП</t>
        </is>
      </c>
      <c r="C2" s="65" t="inlineStr">
        <is>
          <t>1.1, абз. 46 (МТ) / 25 (НИП)</t>
        </is>
      </c>
      <c r="D2" s="65" t="inlineStr">
        <is>
          <t>Тялото на Таблица 1 „Класификационни оси“ стоеше в края на първа глава, далеч от надписа си (следствие от сливането: скриптът обхождаше само абзаци, не и таблици).</t>
        </is>
      </c>
      <c r="E2" s="65" t="inlineStr">
        <is>
          <t>XML възелът на таблицата е преместен непосредствено след надписа. Проверено и за останалите таблици — Таблица 2 беше със същия дефект и също е преместена.</t>
        </is>
      </c>
      <c r="F2" s="65" t="inlineStr">
        <is>
          <t>Технически дефект от сливането, не съдържателен.</t>
        </is>
      </c>
      <c r="G2" s="65" t="inlineStr">
        <is>
          <t>—</t>
        </is>
      </c>
      <c r="H2" s="65" t="inlineStr">
        <is>
          <t>—</t>
        </is>
      </c>
      <c r="I2" s="65" t="inlineStr">
        <is>
          <t>—</t>
        </is>
      </c>
      <c r="J2" s="65" t="inlineStr">
        <is>
          <t>31.08.2026</t>
        </is>
      </c>
    </row>
    <row r="3" ht="110" customHeight="1" s="22">
      <c r="A3" s="65" t="n">
        <v>2</v>
      </c>
      <c r="B3" s="65" t="inlineStr">
        <is>
          <t>МТ + НИП</t>
        </is>
      </c>
      <c r="C3" s="65" t="inlineStr">
        <is>
          <t>1.1, абз. 44 (МТ) / 23 (НИП)</t>
        </is>
      </c>
      <c r="D3" s="65" t="inlineStr">
        <is>
          <t>„Институционално създаваното съдържание — учебници, официални курсове — по правило преминава редакционен и рецензионен процес; съдържанието, създавано от отделния преподавател… ; съдържанието, създавано от самите обучаеми… Генеративно създаденото съдържание е единственият масов вид, който по подразбиране не преминава през никакъв утвърден контролен механизъм.“ — нито едно от четирите твърдения не беше покрито от източник.</t>
        </is>
      </c>
      <c r="E3" s="65" t="inlineStr">
        <is>
          <t>Абзацът е пренаписан изцяло около това, което ръководството на 1EdTech действително постановява: изискването за човешка валидация и най-високото равнище от скалата, при което съдържанието се публикува без надзор. Несравненията по произход отпадат.</t>
        </is>
      </c>
      <c r="F3" s="65" t="inlineStr">
        <is>
          <t>Правило: всяко твърдение, което не е собствен извод, се подкрепя с източник.</t>
        </is>
      </c>
      <c r="G3" s="65" t="inlineStr">
        <is>
          <t>[49] в МТ / [12] в НИП — AI-Generated Content Best Practices v1.0, 1EdTech, 2025</t>
        </is>
      </c>
      <c r="H3" s="65" t="inlineStr">
        <is>
          <t>„AI-generated content requires human validation to ensure accuracy, rigor, and alignment with standards.“ | „AI-generated content cannot be used ‘as is’ for high-stakes or learning-critical contexts without subject matter expert validation.“ | „An organization’s staff, educators, or SMEs should fact-check content for accuracy, evaluate for potential bias, and review for accessibility compliance.“ | Равнище 5 — Fully AI-Generated: „GenAI autonomously generates and publishes content with minimal or no human oversight.“</t>
        </is>
      </c>
      <c r="I3" s="66" t="inlineStr">
        <is>
          <t>https://www.imsglobal.org/resource/AI-Generated_Content_Best_Practices/v1p0</t>
        </is>
      </c>
      <c r="J3" s="65" t="inlineStr">
        <is>
          <t>31.08.2026</t>
        </is>
      </c>
    </row>
    <row r="4" ht="110" customHeight="1" s="22">
      <c r="A4" s="65" t="n">
        <v>3</v>
      </c>
      <c r="B4" s="65" t="inlineStr">
        <is>
          <t>МТ + НИП</t>
        </is>
      </c>
      <c r="C4" s="65" t="inlineStr">
        <is>
          <t>1.1, абз. 45 (МТ) / 24 (НИП)</t>
        </is>
      </c>
      <c r="D4" s="65" t="inlineStr">
        <is>
          <t>„…ще се съсредоточи върху два-три вида електронно учебно съдържание…“</t>
        </is>
      </c>
      <c r="E4" s="65" t="inlineStr">
        <is>
          <t>„…върху три вида…“ — изречението веднага изброява точно три и продължава с „трите основни функции“.</t>
        </is>
      </c>
      <c r="F4" s="65" t="inlineStr">
        <is>
          <t>Вътрешно несъответствие в изречението.</t>
        </is>
      </c>
      <c r="G4" s="65" t="inlineStr">
        <is>
          <t>—</t>
        </is>
      </c>
      <c r="H4" s="65" t="inlineStr">
        <is>
          <t>—</t>
        </is>
      </c>
      <c r="I4" s="65" t="inlineStr">
        <is>
          <t>—</t>
        </is>
      </c>
      <c r="J4" s="65" t="inlineStr">
        <is>
          <t>31.08.2026</t>
        </is>
      </c>
    </row>
    <row r="5" ht="110" customHeight="1" s="22">
      <c r="A5" s="65" t="n">
        <v>4</v>
      </c>
      <c r="B5" s="65" t="inlineStr">
        <is>
          <t>МТ + НИП</t>
        </is>
      </c>
      <c r="C5" s="65" t="inlineStr">
        <is>
          <t>1.2, абз. 49 (МТ) / 28 (НИП)</t>
        </is>
      </c>
      <c r="D5" s="65" t="inlineStr">
        <is>
          <t>„…включването на съдържание, което не обслужва нито една цел, е дефект, а не богатство.“</t>
        </is>
      </c>
      <c r="E5" s="65" t="inlineStr">
        <is>
          <t>„…съдържание, което не обслужва нито една формулирана цел, няма учебно основание да присъства.“</t>
        </is>
      </c>
      <c r="F5" s="65" t="inlineStr">
        <is>
          <t>Противопоставянето „богатство“ не е нито твърдение на източник, нито теза, която някой поддържа — реторична фигура без адресат.</t>
        </is>
      </c>
      <c r="G5" s="65" t="inlineStr">
        <is>
          <t>—</t>
        </is>
      </c>
      <c r="H5" s="65" t="inlineStr">
        <is>
          <t>—</t>
        </is>
      </c>
      <c r="I5" s="65" t="inlineStr">
        <is>
          <t>—</t>
        </is>
      </c>
      <c r="J5" s="65" t="inlineStr">
        <is>
          <t>31.08.2026</t>
        </is>
      </c>
    </row>
    <row r="6" ht="110" customHeight="1" s="22">
      <c r="A6" s="65" t="n">
        <v>5</v>
      </c>
      <c r="B6" s="65" t="inlineStr">
        <is>
          <t>МТ + НИП</t>
        </is>
      </c>
      <c r="C6" s="65" t="inlineStr">
        <is>
          <t>1.2, абз. 49 и 163 (МТ) / 28 (НИП)</t>
        </is>
      </c>
      <c r="D6" s="65" t="inlineStr">
        <is>
          <t>„[29, с. 44–45]“ при петте първи принципа на Merrill.</t>
        </is>
      </c>
      <c r="E6" s="65" t="inlineStr">
        <is>
          <t>„[29]“ — цитира се цялата статия.</t>
        </is>
      </c>
      <c r="F6" s="65" t="inlineStr">
        <is>
          <t>Няма достъп до пълния текст: копията в web.mit.edu, csapoer.pbworks.com и mdavidmerrill.wordpress.com са недостъпни. Съдържанието на твърдението е потвърдено от резюмето, но страничният локатор не е.</t>
        </is>
      </c>
      <c r="G6" s="65" t="inlineStr">
        <is>
          <t>[29] M. D. Merrill, First principles of instruction, ETR&amp;D, т. 50, кн. 3, с. 43–59, 2002</t>
        </is>
      </c>
      <c r="H6" s="65" t="inlineStr">
        <is>
          <t>Резюмето изброява петте принципа дословно: „Learning is promoted when learners are engaged in solving real-world problems… when existing knowledge is activated… when new knowledge is demonstrated… when new knowledge is applied… when new knowledge is integrated into the learner’s world.“</t>
        </is>
      </c>
      <c r="I6" s="66" t="inlineStr">
        <is>
          <t>https://link.springer.com/article/10.1007/BF02505024</t>
        </is>
      </c>
      <c r="J6" s="65" t="inlineStr">
        <is>
          <t>31.08.2026</t>
        </is>
      </c>
    </row>
    <row r="7" ht="110" customHeight="1" s="22">
      <c r="A7" s="65" t="n">
        <v>6</v>
      </c>
      <c r="B7" s="65" t="inlineStr">
        <is>
          <t>МТ + НИП</t>
        </is>
      </c>
      <c r="C7" s="65" t="inlineStr">
        <is>
          <t>1.2, абз. 50 (МТ) / 29 (НИП)</t>
        </is>
      </c>
      <c r="D7" s="65" t="inlineStr">
        <is>
          <t>„…генериращият модел произвежда информативен текст без усилие, а учебен текст само по изключение.“</t>
        </is>
      </c>
      <c r="E7" s="65" t="inlineStr">
        <is>
          <t>„…произвежда информативен текст без усилие, а учебен — само когато това е изрично изискано от него.“</t>
        </is>
      </c>
      <c r="F7" s="65" t="inlineStr">
        <is>
          <t>„По изключение“ твърди емпирична рядкост, за която няма източник; действителното условие е наличието на изрично изискване в подсказа.</t>
        </is>
      </c>
      <c r="G7" s="65" t="inlineStr">
        <is>
          <t>—</t>
        </is>
      </c>
      <c r="H7" s="65" t="inlineStr">
        <is>
          <t>—</t>
        </is>
      </c>
      <c r="I7" s="65" t="inlineStr">
        <is>
          <t>—</t>
        </is>
      </c>
      <c r="J7" s="65" t="inlineStr">
        <is>
          <t>31.08.2026</t>
        </is>
      </c>
    </row>
    <row r="8" ht="140" customHeight="1" s="22">
      <c r="A8" s="65" t="n">
        <v>7</v>
      </c>
      <c r="B8" s="65" t="inlineStr">
        <is>
          <t>МТ + НИП</t>
        </is>
      </c>
      <c r="C8" s="65" t="inlineStr">
        <is>
          <t>1.2, абз. 54 (МТ) / 33 (НИП)</t>
        </is>
      </c>
      <c r="D8" s="65" t="inlineStr">
        <is>
          <t>„…рамките за генериране въвеждат изрични ограничения върху броя на думите… именно защото зададеният обем не се спазва сам по себе си [47]“ — и след първата поправка [47] пак стоеше като подкрепа на твърдение за обем спрямо учебно време.</t>
        </is>
      </c>
      <c r="E8" s="65" t="inlineStr">
        <is>
          <t>Абзацът е пренаписан. Твърдението за обем/време е обозначено като методологическо решение на разработката; [47] подкрепя само описанието, че източниците разработват количествения контрол през равнището на езика.</t>
        </is>
      </c>
      <c r="F8" s="65" t="inlineStr">
        <is>
          <t>Източникът е за съобразяване с езиковото равнище (grade-appropriate readability), не за съотнасяне на обема с учебното време — възражение на автора, потвърдено при повторна проверка.</t>
        </is>
      </c>
      <c r="G8" s="65" t="inlineStr">
        <is>
          <t>[47] в МТ / [41] в НИП — Z. Liu и кол., COGENT, BEA 2025</t>
        </is>
      </c>
      <c r="H8" s="65" t="inlineStr">
        <is>
          <t>„…control readability through length, vocabulary, and sentence complexity…“ — „length“ тук е дължина в служба на четивността, не обем спрямо занятие.</t>
        </is>
      </c>
      <c r="I8" s="66" t="inlineStr">
        <is>
          <t>https://aclanthology.org/2025.bea-1.10/</t>
        </is>
      </c>
      <c r="J8" s="65" t="inlineStr">
        <is>
          <t>31.08.2026</t>
        </is>
      </c>
    </row>
    <row r="9" ht="130" customHeight="1" s="22">
      <c r="A9" s="65" t="n">
        <v>8</v>
      </c>
      <c r="B9" s="65" t="inlineStr">
        <is>
          <t>МТ + НИП</t>
        </is>
      </c>
      <c r="C9" s="65" t="inlineStr">
        <is>
          <t>1.2, абз. 54 (МТ) / 33 (НИП)</t>
        </is>
      </c>
      <c r="D9" s="65" t="inlineStr">
        <is>
          <t>Целият абзац „Изискванията към структурата имат и количествено измерение…“ — след две поправки остана вътрешно противоречив: първата половина въвеждаше показател за обем спрямо учебно време, втората обясняваше, че литературата не го поддържа.</t>
        </is>
      </c>
      <c r="E9" s="65" t="inlineStr">
        <is>
          <t>Абзацът е премахнат изцяло.</t>
        </is>
      </c>
      <c r="F9" s="65" t="inlineStr">
        <is>
          <t>Решаващо: противоречи на собствения модел. Т. 3.3, абз. 221: „Преобразуването на обема в учебно време остава преценка на преподавателя, който познава курса, и затова не се вписва в модела като отделно изискване.“ Темата вече е покрита коректно в т. 2.3 (абз. 167) и от показател П14.</t>
        </is>
      </c>
      <c r="G9" s="65" t="inlineStr">
        <is>
          <t>—</t>
        </is>
      </c>
      <c r="H9" s="65" t="inlineStr">
        <is>
          <t>—</t>
        </is>
      </c>
      <c r="I9" s="65" t="inlineStr">
        <is>
          <t>—</t>
        </is>
      </c>
      <c r="J9" s="65" t="inlineStr">
        <is>
          <t>31.08.2026</t>
        </is>
      </c>
    </row>
  </sheetData>
  <autoFilter ref="A1:J9"/>
  <hyperlinks>
    <hyperlink xmlns:r="http://schemas.openxmlformats.org/officeDocument/2006/relationships" ref="I3" r:id="rId1"/>
    <hyperlink xmlns:r="http://schemas.openxmlformats.org/officeDocument/2006/relationships" ref="I6" r:id="rId2"/>
    <hyperlink xmlns:r="http://schemas.openxmlformats.org/officeDocument/2006/relationships" ref="I8"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2026-08-28T09:35:22Z</dcterms:created>
  <dcterms:modified xmlns:dcterms="http://purl.org/dc/terms/" xmlns:xsi="http://www.w3.org/2001/XMLSchema-instance" xsi:type="dcterms:W3CDTF">2026-09-01T08:17:14Z</dcterms:modified>
  <cp:revision>0</cp:revision>
</cp:coreProperties>
</file>