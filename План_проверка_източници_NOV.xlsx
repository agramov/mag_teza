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Метод" sheetId="1" state="visible" r:id="rId1"/>
    <sheet xmlns:r="http://schemas.openxmlformats.org/officeDocument/2006/relationships" name="Ниво 1 Източници" sheetId="2" state="visible" r:id="rId2"/>
    <sheet xmlns:r="http://schemas.openxmlformats.org/officeDocument/2006/relationships" name="Списък 42" sheetId="3" state="visible" r:id="rId3"/>
    <sheet xmlns:r="http://schemas.openxmlformats.org/officeDocument/2006/relationships" name="Ниво 2 Твърдения" sheetId="4" state="visible" r:id="rId4"/>
    <sheet xmlns:r="http://schemas.openxmlformats.org/officeDocument/2006/relationships" name="Ниво 3 Нецитирани" sheetId="5" state="visible" r:id="rId5"/>
    <sheet xmlns:r="http://schemas.openxmlformats.org/officeDocument/2006/relationships" name="Обобщение" sheetId="6" state="visible" r:id="rId6"/>
  </sheets>
  <definedNames>
    <definedName name="_xlnm._FilterDatabase" localSheetId="1" hidden="1">'Ниво 1 Източници'!$A$1:$N$37</definedName>
    <definedName name="_xlnm._FilterDatabase" localSheetId="3" hidden="1">'Ниво 2 Твърдения'!$A$1:$M$65</definedName>
    <definedName name="_xlnm._FilterDatabase" localSheetId="4" hidden="1">'Ниво 3 Нецитирани'!$A$1:$J$51</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0"/>
    </font>
    <font>
      <name val="Arial"/>
      <charset val="1"/>
      <family val="0"/>
      <sz val="10"/>
    </font>
    <font>
      <name val="Arial"/>
      <charset val="1"/>
      <family val="0"/>
      <b val="1"/>
      <color rgb="FFFFFFFF"/>
      <sz val="10"/>
    </font>
    <font>
      <name val="Arial"/>
      <charset val="1"/>
      <family val="0"/>
      <b val="1"/>
      <color rgb="FF9C0006"/>
      <sz val="10"/>
    </font>
    <font>
      <name val="Arial"/>
      <charset val="1"/>
      <family val="0"/>
      <b val="1"/>
      <color rgb="FF1F3864"/>
      <sz val="13"/>
    </font>
    <font>
      <name val="Arial"/>
      <charset val="1"/>
      <family val="0"/>
      <i val="1"/>
      <color rgb="FF595959"/>
      <sz val="9"/>
    </font>
    <font>
      <name val="Arial"/>
      <sz val="10"/>
    </font>
    <font>
      <name val="Arial"/>
      <b val="1"/>
      <color rgb="009C0006"/>
      <sz val="12"/>
    </font>
    <font>
      <name val="Arial"/>
      <b val="1"/>
      <color rgb="00FFFFFF"/>
      <sz val="10"/>
    </font>
    <font>
      <name val="Arial"/>
      <color rgb="000563C1"/>
      <sz val="9"/>
      <u val="single"/>
    </font>
    <font>
      <name val="Arial"/>
      <b val="1"/>
      <sz val="10"/>
    </font>
  </fonts>
  <fills count="12">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00F8CBAD"/>
      </patternFill>
    </fill>
    <fill>
      <patternFill patternType="solid">
        <fgColor rgb="00FCE4D6"/>
      </patternFill>
    </fill>
    <fill>
      <patternFill patternType="solid">
        <fgColor rgb="001F3864"/>
      </patternFill>
    </fill>
    <fill>
      <patternFill patternType="solid">
        <fgColor rgb="007B3F00"/>
      </patternFill>
    </fill>
    <fill>
      <patternFill patternType="solid">
        <fgColor rgb="00FFF2CC"/>
      </patternFill>
    </fill>
    <fill>
      <patternFill patternType="solid">
        <fgColor rgb="00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6" borderId="1" applyAlignment="1" pivotButton="0" quotePrefix="0" xfId="0">
      <alignment horizontal="general" vertical="top"/>
    </xf>
    <xf numFmtId="0" fontId="7" fillId="6" borderId="1" applyAlignment="1" pivotButton="0" quotePrefix="0" xfId="0">
      <alignment horizontal="general" vertical="top" wrapText="1"/>
    </xf>
    <xf numFmtId="0" fontId="9" fillId="6" borderId="1" applyAlignment="1" pivotButton="0" quotePrefix="0" xfId="0">
      <alignment horizontal="general" vertical="top"/>
    </xf>
    <xf numFmtId="0" fontId="12" fillId="7"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13" fillId="0" borderId="0" applyAlignment="1" pivotButton="0" quotePrefix="0" xfId="0">
      <alignment vertical="top"/>
    </xf>
    <xf numFmtId="0" fontId="12" fillId="0" borderId="0" applyAlignment="1" pivotButton="0" quotePrefix="0" xfId="0">
      <alignment vertical="top" wrapText="1"/>
    </xf>
    <xf numFmtId="0" fontId="14" fillId="8" borderId="0" applyAlignment="1" pivotButton="0" quotePrefix="0" xfId="0">
      <alignment horizontal="center" vertical="center" wrapText="1"/>
    </xf>
    <xf numFmtId="0" fontId="15" fillId="0" borderId="2" applyAlignment="1" pivotButton="0" quotePrefix="0" xfId="0">
      <alignment vertical="top" wrapText="1"/>
    </xf>
    <xf numFmtId="0" fontId="12" fillId="0" borderId="2" applyAlignment="1" pivotButton="0" quotePrefix="0" xfId="0">
      <alignment vertical="top" wrapText="1"/>
    </xf>
    <xf numFmtId="0" fontId="14" fillId="9" borderId="0" applyAlignment="1" pivotButton="0" quotePrefix="0" xfId="0">
      <alignment horizontal="center" vertical="center" wrapText="1"/>
    </xf>
    <xf numFmtId="0" fontId="12" fillId="10" borderId="2" applyAlignment="1" pivotButton="0" quotePrefix="0" xfId="0">
      <alignment vertical="top" wrapText="1"/>
    </xf>
    <xf numFmtId="0" fontId="16" fillId="0" borderId="0" pivotButton="0" quotePrefix="0" xfId="0"/>
    <xf numFmtId="0" fontId="12" fillId="0" borderId="0" pivotButton="0" quotePrefix="0" xfId="0"/>
    <xf numFmtId="0" fontId="15" fillId="6" borderId="2" applyAlignment="1" pivotButton="0" quotePrefix="0" xfId="0">
      <alignment vertical="top" wrapText="1"/>
    </xf>
    <xf numFmtId="0" fontId="12" fillId="6" borderId="2" applyAlignment="1" pivotButton="0" quotePrefix="0" xfId="0">
      <alignment vertical="top" wrapText="1"/>
    </xf>
    <xf numFmtId="0" fontId="14" fillId="8" borderId="0" applyAlignment="1" pivotButton="0" quotePrefix="0" xfId="0">
      <alignment horizontal="center" vertical="center"/>
    </xf>
    <xf numFmtId="0" fontId="12" fillId="11"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angular.dev/reference/releases#release-frequency"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api.openalex.org/works/doi:10.1007/s11528-024-00967-w" TargetMode="External" Id="rId19"/><Relationship Type="http://schemas.openxmlformats.org/officeDocument/2006/relationships/hyperlink" Target="https://aclanthology.org/2026.eacl-long.191/" TargetMode="External" Id="rId20"/><Relationship Type="http://schemas.openxmlformats.org/officeDocument/2006/relationships/hyperlink" Target="https://api.openalex.org/works/doi:10.1080/10494820.2025.2523390" TargetMode="External" Id="rId21"/><Relationship Type="http://schemas.openxmlformats.org/officeDocument/2006/relationships/hyperlink" Target="https://ieeexplore.ieee.org/document/9262118/" TargetMode="External" Id="rId22"/><Relationship Type="http://schemas.openxmlformats.org/officeDocument/2006/relationships/hyperlink" Target="https://www.mheducation.co.uk/teaching-for-quality-learning-at-university-5e-9780335250820-emea-group" TargetMode="External" Id="rId23"/><Relationship Type="http://schemas.openxmlformats.org/officeDocument/2006/relationships/hyperlink" Target="https://api.openalex.org/works/doi:10.1007/s10648-019-09465-5" TargetMode="External" Id="rId24"/><Relationship Type="http://schemas.openxmlformats.org/officeDocument/2006/relationships/hyperlink" Target="https://arxiv.org/abs/2311.05232" TargetMode="External" Id="rId25"/><Relationship Type="http://schemas.openxmlformats.org/officeDocument/2006/relationships/hyperlink" Target="https://arxiv.org/html/2306.05685v4" TargetMode="External" Id="rId26"/><Relationship Type="http://schemas.openxmlformats.org/officeDocument/2006/relationships/hyperlink" Target="https://api.openalex.org/works/doi:10.1007/bf02505024" TargetMode="External" Id="rId27"/><Relationship Type="http://schemas.openxmlformats.org/officeDocument/2006/relationships/hyperlink" Target="https://link.springer.com/article/10.1186/s41239-019-0171-0" TargetMode="External" Id="rId28"/><Relationship Type="http://schemas.openxmlformats.org/officeDocument/2006/relationships/hyperlink" Target="https://educationaldevelopment.uams.edu/qualitymatters/qm-rubric" TargetMode="External" Id="rId29"/><Relationship Type="http://schemas.openxmlformats.org/officeDocument/2006/relationships/hyperlink" Target="https://www.harvard.com/book/9781394177370" TargetMode="External" Id="rId30"/><Relationship Type="http://schemas.openxmlformats.org/officeDocument/2006/relationships/hyperlink" Target="https://eur-lex.europa.eu/eli/reg/2024/1689/oj" TargetMode="External" Id="rId31"/><Relationship Type="http://schemas.openxmlformats.org/officeDocument/2006/relationships/hyperlink" Target="https://api.openalex.org/works/doi:10.1007/s10639-025-13587-5" TargetMode="External" Id="rId32"/><Relationship Type="http://schemas.openxmlformats.org/officeDocument/2006/relationships/hyperlink" Target="https://www.emerald.com/qae/article/34/2/205/1302250/Enhancing-quality-assurance-through-strategic" TargetMode="External" Id="rId33"/><Relationship Type="http://schemas.openxmlformats.org/officeDocument/2006/relationships/hyperlink" Target="https://unesdoc.unesco.org/ark:/48223/pf0000383205" TargetMode="External" Id="rId34"/><Relationship Type="http://schemas.openxmlformats.org/officeDocument/2006/relationships/hyperlink" Target="https://link.springer.com/content/pdf/10.1007/s10639-024-12549-7.pdf" TargetMode="External" Id="rId35"/><Relationship Type="http://schemas.openxmlformats.org/officeDocument/2006/relationships/hyperlink" Target="https://aclanthology.org/2025.bea-1.10/" TargetMode="External" Id="rId36"/></Relationships>
</file>

<file path=xl/worksheets/_rels/sheet4.xml.rels><Relationships xmlns="http://schemas.openxmlformats.org/package/2006/relationships"><Relationship Type="http://schemas.openxmlformats.org/officeDocument/2006/relationships/hyperlink" Target="https://www.irrodl.org/index.php/irrodl/article/view/1161" TargetMode="External" Id="rId1"/><Relationship Type="http://schemas.openxmlformats.org/officeDocument/2006/relationships/hyperlink" Target="https://publications.jrc.ec.europa.eu/repository/bitstream/JRC107466/pdf_digcomedu_a4_final.pdf" TargetMode="External" Id="rId2"/><Relationship Type="http://schemas.openxmlformats.org/officeDocument/2006/relationships/hyperlink" Target="https://www.sciencedirect.com/science/article/pii/S2211368121000231" TargetMode="External" Id="rId3"/><Relationship Type="http://schemas.openxmlformats.org/officeDocument/2006/relationships/hyperlink" Target="https://www.mdpi.com/2071-1050/17/19/8859" TargetMode="External" Id="rId4"/><Relationship Type="http://schemas.openxmlformats.org/officeDocument/2006/relationships/hyperlink" Target="https://unesdoc.unesco.org/ark:/48223/pf0000383205" TargetMode="External" Id="rId5"/><Relationship Type="http://schemas.openxmlformats.org/officeDocument/2006/relationships/hyperlink" Target="https://www.imsglobal.org/metadata/mdv1p3/imsmd_bestv1p3.html" TargetMode="External" Id="rId6"/><Relationship Type="http://schemas.openxmlformats.org/officeDocument/2006/relationships/hyperlink" Target="https://arxiv.org/abs/1903.12282" TargetMode="External" Id="rId7"/><Relationship Type="http://schemas.openxmlformats.org/officeDocument/2006/relationships/hyperlink" Target="https://www.imsglobal.org/resource/AI-Generated_Content_Best_Practices/v1p0" TargetMode="External" Id="rId8"/><Relationship Type="http://schemas.openxmlformats.org/officeDocument/2006/relationships/hyperlink" Target="https://link.springer.com/article/10.1007/BF02505024" TargetMode="External" Id="rId9"/><Relationship Type="http://schemas.openxmlformats.org/officeDocument/2006/relationships/hyperlink" Target="https://link.springer.com/article/10.1007/BF00138871" TargetMode="External" Id="rId10"/><Relationship Type="http://schemas.openxmlformats.org/officeDocument/2006/relationships/hyperlink" Target="https://link.springer.com/article/10.1007/s10648-019-09465-5" TargetMode="External" Id="rId11"/><Relationship Type="http://schemas.openxmlformats.org/officeDocument/2006/relationships/hyperlink" Target="https://www.sciencedirect.com/science/article/pii/S2211368121000231" TargetMode="External" Id="rId12"/><Relationship Type="http://schemas.openxmlformats.org/officeDocument/2006/relationships/hyperlink" Target="https://publications.jrc.ec.europa.eu/repository/bitstream/JRC107466/pdf_digcomedu_a4_final.pdf" TargetMode="External" Id="rId13"/><Relationship Type="http://schemas.openxmlformats.org/officeDocument/2006/relationships/hyperlink" Target="https://www.sciencedirect.com/science/article/abs/pii/S036013151930082X" TargetMode="External" Id="rId14"/><Relationship Type="http://schemas.openxmlformats.org/officeDocument/2006/relationships/hyperlink" Target="https://www.tandfonline.com/doi/full/10.1080/10494820.2025.2523390" TargetMode="External" Id="rId15"/><Relationship Type="http://schemas.openxmlformats.org/officeDocument/2006/relationships/hyperlink" Target="https://www.mdpi.com/2071-1050/15/17/12983" TargetMode="External" Id="rId16"/><Relationship Type="http://schemas.openxmlformats.org/officeDocument/2006/relationships/hyperlink" Target="https://www.sciencedirect.com/science/article/pii/S1041608023000195" TargetMode="External" Id="rId17"/><Relationship Type="http://schemas.openxmlformats.org/officeDocument/2006/relationships/hyperlink" Target="https://opus.bibliothek.uni-augsburg.de/opus4/files/109030/109030.pdf" TargetMode="External" Id="rId18"/><Relationship Type="http://schemas.openxmlformats.org/officeDocument/2006/relationships/hyperlink" Target="https://www.mdpi.com/2071-1050/15/17/12983" TargetMode="External" Id="rId19"/><Relationship Type="http://schemas.openxmlformats.org/officeDocument/2006/relationships/hyperlink" Target="https://arxiv.org/html/2311.05232v2" TargetMode="External" Id="rId20"/><Relationship Type="http://schemas.openxmlformats.org/officeDocument/2006/relationships/hyperlink" Target="https://opus.bibliothek.uni-augsburg.de/opus4/files/109030/109030.pdf" TargetMode="External" Id="rId21"/><Relationship Type="http://schemas.openxmlformats.org/officeDocument/2006/relationships/hyperlink" Target="https://arxiv.org/html/2311.05232v2" TargetMode="External" Id="rId22"/><Relationship Type="http://schemas.openxmlformats.org/officeDocument/2006/relationships/hyperlink" Target="https://www.mdpi.com/2071-1050/15/17/12983" TargetMode="External" Id="rId23"/><Relationship Type="http://schemas.openxmlformats.org/officeDocument/2006/relationships/hyperlink" Target="https://opus.bibliothek.uni-augsburg.de/opus4/files/109030/109030.pdf" TargetMode="External" Id="rId24"/><Relationship Type="http://schemas.openxmlformats.org/officeDocument/2006/relationships/hyperlink" Target="https://arxiv.org/html/2308.12276v3" TargetMode="External" Id="rId25"/><Relationship Type="http://schemas.openxmlformats.org/officeDocument/2006/relationships/hyperlink" Target="https://journals.sagepub.com/doi/10.1177/15344843251320256" TargetMode="External" Id="rId26"/><Relationship Type="http://schemas.openxmlformats.org/officeDocument/2006/relationships/hyperlink" Target="https://www.conf-dte.bg/docs/2026/p-96.pdf" TargetMode="External" Id="rId27"/><Relationship Type="http://schemas.openxmlformats.org/officeDocument/2006/relationships/hyperlink" Target="https://aclanthology.org/2025.bea-1.10.pdf" TargetMode="External" Id="rId28"/><Relationship Type="http://schemas.openxmlformats.org/officeDocument/2006/relationships/hyperlink" Target="https://arxiv.org/abs/2508.19611" TargetMode="External" Id="rId29"/><Relationship Type="http://schemas.openxmlformats.org/officeDocument/2006/relationships/hyperlink" Target="https://www.conf-dte.bg/docs/2026/p-3.pdf" TargetMode="External" Id="rId30"/><Relationship Type="http://schemas.openxmlformats.org/officeDocument/2006/relationships/hyperlink" Target="https://www.conf-dte.bg/docs/2026/p-94.pdf" TargetMode="External" Id="rId31"/><Relationship Type="http://schemas.openxmlformats.org/officeDocument/2006/relationships/hyperlink" Target="https://www.conf-dte.bg/docs/2026/p-100.pdf" TargetMode="External" Id="rId32"/><Relationship Type="http://schemas.openxmlformats.org/officeDocument/2006/relationships/hyperlink" Target="https://www.conf-dte.bg/docs/2026/p-94.pdf" TargetMode="External" Id="rId33"/><Relationship Type="http://schemas.openxmlformats.org/officeDocument/2006/relationships/hyperlink" Target="https://link.springer.com/article/10.1007/s11528-024-00967-w" TargetMode="External" Id="rId34"/><Relationship Type="http://schemas.openxmlformats.org/officeDocument/2006/relationships/hyperlink" Target="https://link.springer.com/article/10.1186/s41239-019-0171-0" TargetMode="External" Id="rId35"/><Relationship Type="http://schemas.openxmlformats.org/officeDocument/2006/relationships/hyperlink" Target="https://link.springer.com/content/pdf/10.1007/s11528-024-00967-w.pdf" TargetMode="External" Id="rId36"/><Relationship Type="http://schemas.openxmlformats.org/officeDocument/2006/relationships/hyperlink" Target="https://www.mdpi.com/2071-1050/15/17/12983" TargetMode="External" Id="rId37"/><Relationship Type="http://schemas.openxmlformats.org/officeDocument/2006/relationships/hyperlink" Target="https://link.springer.com/content/pdf/10.1007/s11528-024-00967-w.pdf" TargetMode="External" Id="rId38"/><Relationship Type="http://schemas.openxmlformats.org/officeDocument/2006/relationships/hyperlink" Target="https://opus.bibliothek.uni-augsburg.de/opus4/files/109030/109030.pdf" TargetMode="External" Id="rId39"/><Relationship Type="http://schemas.openxmlformats.org/officeDocument/2006/relationships/hyperlink" Target="https://link.springer.com/content/pdf/10.1007/s11528-024-00967-w.pdf" TargetMode="External" Id="rId40"/><Relationship Type="http://schemas.openxmlformats.org/officeDocument/2006/relationships/hyperlink" Target="https://www.conf-dte.bg/docs/2026/p-106.pdf" TargetMode="External" Id="rId41"/><Relationship Type="http://schemas.openxmlformats.org/officeDocument/2006/relationships/hyperlink" Target="https://www.conf-dte.bg/docs/2026/p-124.pdf" TargetMode="External" Id="rId42"/><Relationship Type="http://schemas.openxmlformats.org/officeDocument/2006/relationships/hyperlink" Target="https://www.emerald.com/qae/article/34/2/205/1302250/Enhancing-quality-assurance-through-strategic" TargetMode="External" Id="rId43"/><Relationship Type="http://schemas.openxmlformats.org/officeDocument/2006/relationships/hyperlink" Target="https://opus.bibliothek.uni-augsburg.de/opus4/files/109030/109030.pdf" TargetMode="External" Id="rId44"/><Relationship Type="http://schemas.openxmlformats.org/officeDocument/2006/relationships/hyperlink" Target="https://www.sciencedirect.com/science/article/pii/S000169182600675X" TargetMode="External" Id="rId45"/><Relationship Type="http://schemas.openxmlformats.org/officeDocument/2006/relationships/hyperlink" Target="https://www.sciencedirect.com/science/article/pii/S1041608023000195" TargetMode="External" Id="rId46"/><Relationship Type="http://schemas.openxmlformats.org/officeDocument/2006/relationships/hyperlink" Target="https://www.emerald.com/qae/article/34/2/205/1302250/Enhancing-quality-assurance-through-strategic" TargetMode="External" Id="rId47"/><Relationship Type="http://schemas.openxmlformats.org/officeDocument/2006/relationships/hyperlink" Target="https://table.media/wp-content/uploads/2023/09/386693eng.pdf" TargetMode="External" Id="rId48"/><Relationship Type="http://schemas.openxmlformats.org/officeDocument/2006/relationships/hyperlink" Target="https://www.conf-dte.bg/docs/2026/p-2.pdf" TargetMode="External" Id="rId49"/><Relationship Type="http://schemas.openxmlformats.org/officeDocument/2006/relationships/hyperlink" Target="https://artificialintelligenceact.eu/article/50/" TargetMode="External" Id="rId50"/><Relationship Type="http://schemas.openxmlformats.org/officeDocument/2006/relationships/hyperlink" Target="https://www.conf-dte.bg/docs/2025/p-84.pdf" TargetMode="External" Id="rId51"/><Relationship Type="http://schemas.openxmlformats.org/officeDocument/2006/relationships/hyperlink" Target="https://www.sciencedirect.com/science/article/pii/S1041608023000195" TargetMode="External" Id="rId52"/><Relationship Type="http://schemas.openxmlformats.org/officeDocument/2006/relationships/hyperlink" Target="https://opus.bibliothek.uni-augsburg.de/opus4/files/109030/109030.pdf" TargetMode="External" Id="rId53"/><Relationship Type="http://schemas.openxmlformats.org/officeDocument/2006/relationships/hyperlink" Target="https://www.sciencedirect.com/science/article/pii/S2211368121000231" TargetMode="External" Id="rId54"/><Relationship Type="http://schemas.openxmlformats.org/officeDocument/2006/relationships/hyperlink" Target="https://educationaldevelopment.uams.edu/qualitymatters/qm-rubric" TargetMode="External" Id="rId55"/><Relationship Type="http://schemas.openxmlformats.org/officeDocument/2006/relationships/hyperlink" Target="https://link.springer.com/article/10.1007/s10639-025-13587-5" TargetMode="External" Id="rId56"/><Relationship Type="http://schemas.openxmlformats.org/officeDocument/2006/relationships/hyperlink" Target="https://arxiv.org/html/2306.05685v4" TargetMode="External" Id="rId57"/><Relationship Type="http://schemas.openxmlformats.org/officeDocument/2006/relationships/hyperlink" Target="https://arxiv.org/html/2411.16594v5" TargetMode="External" Id="rId58"/><Relationship Type="http://schemas.openxmlformats.org/officeDocument/2006/relationships/hyperlink" Target="https://arxiv.org/html/2411.16594v5" TargetMode="External" Id="rId59"/><Relationship Type="http://schemas.openxmlformats.org/officeDocument/2006/relationships/hyperlink" Target="https://arxiv.org/html/2607.02235v1" TargetMode="External" Id="rId60"/><Relationship Type="http://schemas.openxmlformats.org/officeDocument/2006/relationships/hyperlink" Target="https://journals.azbuki.bg/pedagogy/generativen-izkustven-intelekt-v-obrazovanieto-problemi-i-reseniya/view" TargetMode="External" Id="rId61"/><Relationship Type="http://schemas.openxmlformats.org/officeDocument/2006/relationships/hyperlink" Target="https://arxiv.org/html/2411.16594v5" TargetMode="External" Id="rId62"/><Relationship Type="http://schemas.openxmlformats.org/officeDocument/2006/relationships/hyperlink" Target="https://arxiv.org/html/2306.05685v4" TargetMode="External" Id="rId63"/><Relationship Type="http://schemas.openxmlformats.org/officeDocument/2006/relationships/hyperlink" Target="https://arxiv.org/html/2607.02235v1" TargetMode="External" Id="rId64"/></Relationships>
</file>

<file path=xl/worksheets/sheet1.xml><?xml version="1.0" encoding="utf-8"?>
<worksheet xmlns="http://schemas.openxmlformats.org/spreadsheetml/2006/main">
  <sheetPr filterMode="0">
    <outlinePr summaryBelow="1" summaryRight="1"/>
    <pageSetUpPr fitToPage="0"/>
  </sheetPr>
  <dimension ref="B1:C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1" min="1" max="1"/>
    <col width="30" customWidth="1" style="21" min="2" max="2"/>
    <col width="105" customWidth="1" style="21" min="3" max="3"/>
  </cols>
  <sheetData>
    <row r="1" ht="17.25" customHeight="1" s="22">
      <c r="B1" s="23" t="inlineStr">
        <is>
          <t>План за потвърждаване на цитираното от всички източници</t>
        </is>
      </c>
    </row>
    <row r="2" ht="15" customHeight="1" s="22">
      <c r="B2" s="24" t="inlineStr">
        <is>
          <t>НИП „Александър Гръмов“ — Първа глава, 36 източника, 64 цитирани твърдения</t>
        </is>
      </c>
    </row>
    <row r="4" ht="45.75" customHeight="1" s="22">
      <c r="B4" s="25" t="inlineStr">
        <is>
          <t>Защо е нужно</t>
        </is>
      </c>
      <c r="C4" s="26" t="inlineStr">
        <is>
          <t>Първа глава има 36 източника и 64 места, където конкретно твърдение е обвързано с източник. Част от записите носят признаци на риск: запис без автор с arXiv номер от 2026 г., два записа от конференции с 2026 г., един непрофилен източник (документация на Angular), един запис без DOI. Отделно 15 твърдения съдържат точни числа (проценти, брой публикации, брой стандарти), които или се потвърждават дословно, или трябва да отпаднат.</t>
        </is>
      </c>
    </row>
    <row r="6" ht="34.5" customHeight="1" s="22">
      <c r="B6" s="25" t="inlineStr">
        <is>
          <t>Двустепенен принцип</t>
        </is>
      </c>
      <c r="C6" s="26" t="inlineStr">
        <is>
          <t>Ниво 1 проверява дали източникът съществува и дали библиографският запис е верен. Ниво 2 проверява дали конкретното твърдение наистина се съдържа в източника и на посоченото място. Източник може да мине Ниво 1 и да се провали на Ниво 2 — това е по-опасната грешка, защото не се вижда при повърхностен преглед.</t>
        </is>
      </c>
    </row>
    <row r="8" ht="23.25" customHeight="1" s="22">
      <c r="B8" s="25" t="inlineStr">
        <is>
          <t>Ред на работа</t>
        </is>
      </c>
      <c r="C8" s="26" t="inlineStr">
        <is>
          <t>1) Ниво 1 за всички 36 записа. 2) Ниво 2 за твърденията с приоритет „Критичен“ (числа и точни структури). 3) Ниво 2 за „Висок“. 4) Ниво 2 за останалите. 5) Отстраняване на находките в текста. 6) Финален контрол по листа „Обобщение“.</t>
        </is>
      </c>
    </row>
    <row r="10" ht="34.5" customHeight="1" s="22">
      <c r="B10" s="25" t="inlineStr">
        <is>
          <t>Критерий „Потвърдено“</t>
        </is>
      </c>
      <c r="C10" s="26" t="inlineStr">
        <is>
          <t>Отворен е самият източник (не абстракт, не вторично цитиране), намерено е мястото, което носи твърдението, и формулировката в текста не е по-силна от формулировката в източника. Записва се страница/раздел в колона „Намерено на“.</t>
        </is>
      </c>
    </row>
    <row r="12" ht="23.25" customHeight="1" s="22">
      <c r="B12" s="25" t="inlineStr">
        <is>
          <t>Критерий „Частично“</t>
        </is>
      </c>
      <c r="C12" s="26" t="inlineStr">
        <is>
          <t>Твърдението се съдържа, но обхватът, числото или категоричността се разминават. Изисква преформулиране в текста — не отпадане на източника.</t>
        </is>
      </c>
    </row>
    <row r="14" ht="23.25" customHeight="1" s="22">
      <c r="B14" s="25" t="inlineStr">
        <is>
          <t>Специално правило: числа</t>
        </is>
      </c>
      <c r="C14" s="26" t="inlineStr">
        <is>
          <t>Всяко число се проследява до първоизточника. Ако източникът сам цитира числото от другаде (напр. ред 61), цитира се първоизточникът или се пише „по данни, цитирани в [X]“.</t>
        </is>
      </c>
    </row>
    <row r="16" ht="34.5" customHeight="1" s="22">
      <c r="B16" s="25" t="inlineStr">
        <is>
          <t>Специално правило: локатори</t>
        </is>
      </c>
      <c r="C16" s="26" t="inlineStr">
        <is>
          <t>Локаторите [30, гл. 1/4/9/12/13/21], [27, с. 44–45], [12, обл. 2] се проверяват срещу точното издание. Номерата на глави се менят между изданията — това е най-честият източник на невярна препратка при преизползван локатор от по-старо издание.</t>
        </is>
      </c>
    </row>
    <row r="18" ht="23.25" customHeight="1" s="22">
      <c r="B18" s="25" t="inlineStr">
        <is>
          <t>Специално правило: приписване</t>
        </is>
      </c>
      <c r="C18" s="26" t="inlineStr">
        <is>
          <t>За обобщаващи изречения („систематичните прегледи показват…“) се проверява дали изводът е на източника или е авторски синтез. Ако е авторски — цитатът се премества или се преформулира. Засегнати редове: 8, 23, 45, 46.</t>
        </is>
      </c>
    </row>
    <row r="20" ht="34.5" customHeight="1" s="22">
      <c r="B20" s="25" t="inlineStr">
        <is>
          <t>Инструменти</t>
        </is>
      </c>
      <c r="C20" s="26" t="inlineStr">
        <is>
          <t>DOI резолвер (doi.org), Crossref, arXiv, IEEE Xplore, Google Scholar, EUR-Lex за [31], сайтовете на UNESCO, Quality Matters и IEEE SA. За българските сборници [1–6, 8, 9] — сборникът на конференцията в Русе (PDF/ISBN) или директна връзка с авторите; онлайн проверка вероятно няма да е достатъчна.</t>
        </is>
      </c>
    </row>
    <row r="22" ht="23.25" customHeight="1" s="22">
      <c r="B22" s="25" t="inlineStr">
        <is>
          <t>Оценка на обема</t>
        </is>
      </c>
      <c r="C22" s="26" t="inlineStr">
        <is>
          <t>Ниво 1: около 3–4 часа за 36 записа. Ниво 2: около 8–12 часа, като тежестта е в 15-те критични реда и в достъпа до платените издания. Реалистичен срок при 2–3 часа дневно — 5 работни дни.</t>
        </is>
      </c>
    </row>
    <row r="24" ht="23.25" customHeight="1" s="22">
      <c r="B24" s="25" t="inlineStr">
        <is>
          <t>Как се попълва</t>
        </is>
      </c>
      <c r="C24" s="26" t="inlineStr">
        <is>
          <t>Работи се само в колоните със светложълт фон: „Статус“, „Намерено на“, „Бележка/действие“, „Проверил“, „Дата“. Останалите колони са входни данни, извлечени от документа. Листът „Обобщение“ се преизчислява сам.</t>
        </is>
      </c>
    </row>
    <row r="28">
      <c r="B28" s="45" t="inlineStr">
        <is>
          <t>Пилот humanize (28.08.2026)</t>
        </is>
      </c>
      <c r="C28" s="46" t="inlineStr">
        <is>
          <t>Раздел 1.5 беше пренаписан с humanizer и отхвърлен. Цитатите и числата се запазиха, но обемът се сви с 39 %, всичките 12 цитирани изречения бяха променени, седем конкретни детайла отпаднаха („трите оценъчни оси“, „от всички образователни степени“, „между отделни заявки“ и др.), периодът 2007–2018 излезе от изречението със своя цитат, описателно твърдение за литературата стана нормативно предписание с чужд цитат зад него, и се появи неподкрепена причинно-следствена връзка („генеративните инструменти наследяват този дефицит“). РЕШЕНИЕ: текстът НЕ се пренаписва. Инструментът се ползва само като детектор. Проверката тече срещу оригиналния текст.</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3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8" customWidth="1" style="21" min="2" max="2"/>
    <col width="20" customWidth="1" style="21" min="3" max="3"/>
    <col width="7" customWidth="1" style="21" min="4" max="4"/>
    <col width="40" customWidth="1" style="21" min="5" max="5"/>
    <col width="26" customWidth="1" style="21" min="6" max="6"/>
    <col width="44" customWidth="1" style="21" min="7" max="7"/>
    <col width="46" customWidth="1" style="21" min="8" max="8"/>
    <col width="10" customWidth="1" style="21" min="9" max="9"/>
    <col width="22" customWidth="1" style="21" min="10" max="10"/>
    <col width="24" customWidth="1" style="21" min="11" max="11"/>
    <col width="30" customWidth="1" style="21" min="12" max="12"/>
    <col width="12" customWidth="1" style="21" min="13" max="13"/>
    <col width="11" customWidth="1" style="21" min="14" max="14"/>
  </cols>
  <sheetData>
    <row r="1" ht="31.5" customHeight="1" s="22">
      <c r="A1" s="27" t="inlineStr">
        <is>
          <t>№</t>
        </is>
      </c>
      <c r="B1" s="56" t="inlineStr">
        <is>
          <t>Нов №</t>
        </is>
      </c>
      <c r="C1" s="27" t="inlineStr">
        <is>
          <t>Източник (кратко)</t>
        </is>
      </c>
      <c r="D1" s="27" t="inlineStr">
        <is>
          <t>Тип</t>
        </is>
      </c>
      <c r="E1" s="27" t="inlineStr">
        <is>
          <t>Год.</t>
        </is>
      </c>
      <c r="F1" s="27" t="inlineStr">
        <is>
          <t>Идентификатор / локация</t>
        </is>
      </c>
      <c r="G1" s="27" t="inlineStr">
        <is>
          <t>Локален файл (extracted_md)</t>
        </is>
      </c>
      <c r="H1" s="47" t="inlineStr">
        <is>
          <t>Линк, използван при проверката</t>
        </is>
      </c>
      <c r="I1" s="27" t="inlineStr">
        <is>
          <t>Как се проверява</t>
        </is>
      </c>
      <c r="J1" s="27" t="inlineStr">
        <is>
          <t>Риск</t>
        </is>
      </c>
      <c r="K1" s="27" t="inlineStr">
        <is>
          <t>Основание за риска</t>
        </is>
      </c>
      <c r="L1" s="27" t="inlineStr">
        <is>
          <t>Брой твърдения</t>
        </is>
      </c>
      <c r="M1" s="27" t="inlineStr">
        <is>
          <t>Статус</t>
        </is>
      </c>
      <c r="N1" s="27" t="inlineStr">
        <is>
          <t>Намерено / DOI потвърден</t>
        </is>
      </c>
      <c r="O1" s="27" t="inlineStr">
        <is>
          <t>Бележка / действие</t>
        </is>
      </c>
      <c r="P1" s="27" t="inlineStr">
        <is>
          <t>Проверил</t>
        </is>
      </c>
      <c r="Q1" s="27" t="inlineStr">
        <is>
          <t>Дата</t>
        </is>
      </c>
    </row>
    <row r="2" ht="34.5" customHeight="1" s="22">
      <c r="A2" s="28" t="n">
        <v>1</v>
      </c>
      <c r="B2" s="49" t="n">
        <v>1</v>
      </c>
      <c r="C2" s="29" t="inlineStr">
        <is>
          <t>А. Захариев — ИИ в ОНС „доктор“: дигитализация, регулация, кредитна акселерация</t>
        </is>
      </c>
      <c r="D2" s="28" t="inlineStr">
        <is>
          <t>Доклад в сборник (BG)</t>
        </is>
      </c>
      <c r="E2" s="28" t="inlineStr">
        <is>
          <t>2026</t>
        </is>
      </c>
      <c r="F2" s="29" t="inlineStr">
        <is>
          <t>Сб. „Дигитална трансформация на образованието“, Русе, с. 15–23</t>
        </is>
      </c>
      <c r="G2" s="29" t="inlineStr">
        <is>
          <t>2026_p-2.md</t>
        </is>
      </c>
      <c r="H2" s="48" t="inlineStr">
        <is>
          <t>https://www.conf-dte.bg/docs/2026/p-2.pdf</t>
        </is>
      </c>
      <c r="I2" s="29" t="inlineStr">
        <is>
          <t>Сборник на конференцията (PDF/ISBN); при липса — контакт с организатора или автора</t>
        </is>
      </c>
      <c r="J2" s="28" t="inlineStr">
        <is>
          <t>Среден</t>
        </is>
      </c>
      <c r="K2" s="29" t="inlineStr">
        <is>
          <t>Сборник от 2026 г.; онлайн наличност несигурна. Твърдение с нормативна конкретика (ред 49).</t>
        </is>
      </c>
      <c r="L2" s="28">
        <f>COUNTIF('Ниво 2 Твърдения'!$C$2:$C$65,"*["&amp;A2&amp;"]*")</f>
        <v/>
      </c>
      <c r="M2" s="30" t="inlineStr">
        <is>
          <t>Потвърдено</t>
        </is>
      </c>
      <c r="N2" s="30" t="inlineStr">
        <is>
          <t>2026_p-2.pdf, печ. стр. 15–23</t>
        </is>
      </c>
      <c r="O2" s="31" t="inlineStr">
        <is>
          <t>Заглавие, автор (Андрей Захариев) и страници съвпадат.</t>
        </is>
      </c>
      <c r="P2" s="30" t="inlineStr">
        <is>
          <t>Claude (авт.)</t>
        </is>
      </c>
      <c r="Q2" s="30" t="inlineStr">
        <is>
          <t>28.08.2026</t>
        </is>
      </c>
    </row>
    <row r="3" ht="34.5" customHeight="1" s="22">
      <c r="A3" s="28" t="n">
        <v>2</v>
      </c>
      <c r="B3" s="49" t="n">
        <v>2</v>
      </c>
      <c r="C3" s="29" t="inlineStr">
        <is>
          <t>Д. Димитранов, Г. Димитров — ИИ за автоматизирано създаване на бази с тестови въпроси</t>
        </is>
      </c>
      <c r="D3" s="28" t="inlineStr">
        <is>
          <t>Доклад в сборник (BG)</t>
        </is>
      </c>
      <c r="E3" s="28" t="inlineStr">
        <is>
          <t>2026</t>
        </is>
      </c>
      <c r="F3" s="29" t="inlineStr">
        <is>
          <t>Същият сборник, с. 576–580</t>
        </is>
      </c>
      <c r="G3" s="29" t="inlineStr">
        <is>
          <t>2026_p-100.md</t>
        </is>
      </c>
      <c r="H3" s="48" t="inlineStr">
        <is>
          <t>https://www.conf-dte.bg/docs/2026/p-100.pdf</t>
        </is>
      </c>
      <c r="I3" s="29" t="inlineStr">
        <is>
          <t>Сборник; проверка на числата 656 000 знака / 553 въпроса</t>
        </is>
      </c>
      <c r="J3" s="32" t="inlineStr">
        <is>
          <t>Висок</t>
        </is>
      </c>
      <c r="K3" s="29" t="inlineStr">
        <is>
          <t>Носи три точни числа (ред 32) в доклад от 5 страници.</t>
        </is>
      </c>
      <c r="L3" s="28">
        <f>COUNTIF('Ниво 2 Твърдения'!$C$2:$C$65,"*["&amp;A3&amp;"]*")</f>
        <v/>
      </c>
      <c r="M3" s="30" t="inlineStr">
        <is>
          <t>Потвърдено</t>
        </is>
      </c>
      <c r="N3" s="30" t="inlineStr">
        <is>
          <t>2026_p-100.pdf, печ. стр. 576–580</t>
        </is>
      </c>
      <c r="O3" s="31" t="inlineStr">
        <is>
          <t>Дилян Димитранов, Георги Димитров — съвпада.</t>
        </is>
      </c>
      <c r="P3" s="30" t="inlineStr">
        <is>
          <t>Claude (авт.)</t>
        </is>
      </c>
      <c r="Q3" s="30" t="inlineStr">
        <is>
          <t>28.08.2026</t>
        </is>
      </c>
    </row>
    <row r="4" ht="23.25" customHeight="1" s="22">
      <c r="A4" s="28" t="n">
        <v>3</v>
      </c>
      <c r="B4" s="49" t="n">
        <v>3</v>
      </c>
      <c r="C4" s="29" t="inlineStr">
        <is>
          <t>Е. Даскалова и кол. — платформа за обучение по дентална анатомия</t>
        </is>
      </c>
      <c r="D4" s="28" t="inlineStr">
        <is>
          <t>Доклад в сборник (BG)</t>
        </is>
      </c>
      <c r="E4" s="28" t="inlineStr">
        <is>
          <t>2026</t>
        </is>
      </c>
      <c r="F4" s="29" t="inlineStr">
        <is>
          <t>Същият сборник, с. 554–558</t>
        </is>
      </c>
      <c r="G4" s="29" t="inlineStr">
        <is>
          <t>2026_p-96.md</t>
        </is>
      </c>
      <c r="H4" s="48" t="inlineStr">
        <is>
          <t>https://www.conf-dte.bg/docs/2026/p-96.pdf</t>
        </is>
      </c>
      <c r="I4" s="29" t="inlineStr">
        <is>
          <t>Сборник; проверка на списъка от петима автори</t>
        </is>
      </c>
      <c r="J4" s="28" t="inlineStr">
        <is>
          <t>Среден</t>
        </is>
      </c>
      <c r="K4" s="29" t="inlineStr">
        <is>
          <t>Пет автора и точни страници — типично място за грешка при пренос.</t>
        </is>
      </c>
      <c r="L4" s="28">
        <f>COUNTIF('Ниво 2 Твърдения'!$C$2:$C$65,"*["&amp;A4&amp;"]*")</f>
        <v/>
      </c>
      <c r="M4" s="30" t="inlineStr">
        <is>
          <t>Потвърдено</t>
        </is>
      </c>
      <c r="N4" s="30" t="inlineStr">
        <is>
          <t>2026_p-96.pdf, печ. стр. 554–558</t>
        </is>
      </c>
      <c r="O4" s="31" t="inlineStr">
        <is>
          <t>Петимата автори съвпадат, вкл. Весела Стефанова.</t>
        </is>
      </c>
      <c r="P4" s="30" t="inlineStr">
        <is>
          <t>Claude (авт.)</t>
        </is>
      </c>
      <c r="Q4" s="30" t="inlineStr">
        <is>
          <t>28.08.2026</t>
        </is>
      </c>
    </row>
    <row r="5" ht="23.25" customHeight="1" s="22">
      <c r="A5" s="28" t="n">
        <v>4</v>
      </c>
      <c r="B5" s="49" t="n">
        <v>4</v>
      </c>
      <c r="C5" s="29" t="inlineStr">
        <is>
          <t>М. Дамесова — генеративен ИИ и дигитален storytelling</t>
        </is>
      </c>
      <c r="D5" s="28" t="inlineStr">
        <is>
          <t>Доклад в сборник (BG)</t>
        </is>
      </c>
      <c r="E5" s="28" t="inlineStr">
        <is>
          <t>2026</t>
        </is>
      </c>
      <c r="F5" s="29" t="inlineStr">
        <is>
          <t>Същият сборник, с. 717–721</t>
        </is>
      </c>
      <c r="G5" s="29" t="inlineStr">
        <is>
          <t>2026_p-124.md</t>
        </is>
      </c>
      <c r="H5" s="48" t="inlineStr">
        <is>
          <t>https://www.conf-dte.bg/docs/2026/p-124.pdf</t>
        </is>
      </c>
      <c r="I5" s="29" t="inlineStr">
        <is>
          <t>Сборник</t>
        </is>
      </c>
      <c r="J5" s="28" t="inlineStr">
        <is>
          <t>Среден</t>
        </is>
      </c>
      <c r="K5" s="29" t="inlineStr">
        <is>
          <t>Достъп.</t>
        </is>
      </c>
      <c r="L5" s="28">
        <f>COUNTIF('Ниво 2 Твърдения'!$C$2:$C$65,"*["&amp;A5&amp;"]*")</f>
        <v/>
      </c>
      <c r="M5" s="30" t="inlineStr">
        <is>
          <t>Потвърдено</t>
        </is>
      </c>
      <c r="N5" s="30" t="inlineStr">
        <is>
          <t>2026_p-124.pdf, печ. стр. 717–721</t>
        </is>
      </c>
      <c r="O5" s="31" t="inlineStr">
        <is>
          <t>Милена Дамесова — съвпада.</t>
        </is>
      </c>
      <c r="P5" s="30" t="inlineStr">
        <is>
          <t>Claude (авт.)</t>
        </is>
      </c>
      <c r="Q5" s="30" t="inlineStr">
        <is>
          <t>28.08.2026</t>
        </is>
      </c>
    </row>
    <row r="6" ht="23.25" customHeight="1" s="22">
      <c r="A6" s="28" t="n">
        <v>5</v>
      </c>
      <c r="B6" s="49" t="n">
        <v>5</v>
      </c>
      <c r="C6" s="29" t="inlineStr">
        <is>
          <t>М. Левунлиева — ИИ в образованието, перспективата на педагога</t>
        </is>
      </c>
      <c r="D6" s="28" t="inlineStr">
        <is>
          <t>Доклад в сборник (BG)</t>
        </is>
      </c>
      <c r="E6" s="28" t="inlineStr">
        <is>
          <t>2026</t>
        </is>
      </c>
      <c r="F6" s="29" t="inlineStr">
        <is>
          <t>Същият сборник, с. 605–610</t>
        </is>
      </c>
      <c r="G6" s="29" t="inlineStr">
        <is>
          <t>2026_p-106.md</t>
        </is>
      </c>
      <c r="H6" s="48" t="inlineStr">
        <is>
          <t>https://www.conf-dte.bg/docs/2026/p-106.pdf</t>
        </is>
      </c>
      <c r="I6" s="29" t="inlineStr">
        <is>
          <t>Сборник; проверка на извадката от 68 специалисти и на „трите оценъчни оси“</t>
        </is>
      </c>
      <c r="J6" s="32" t="inlineStr">
        <is>
          <t>Висок</t>
        </is>
      </c>
      <c r="K6" s="29" t="inlineStr">
        <is>
          <t>Емпирично твърдение с число и методика (ред 41).</t>
        </is>
      </c>
      <c r="L6" s="28">
        <f>COUNTIF('Ниво 2 Твърдения'!$C$2:$C$65,"*["&amp;A6&amp;"]*")</f>
        <v/>
      </c>
      <c r="M6" s="30" t="inlineStr">
        <is>
          <t>Потвърдено</t>
        </is>
      </c>
      <c r="N6" s="30" t="inlineStr">
        <is>
          <t>2026_p-106.pdf, печ. стр. 605–610</t>
        </is>
      </c>
      <c r="O6" s="31" t="inlineStr">
        <is>
          <t>Милена Левунлиева — съвпада.</t>
        </is>
      </c>
      <c r="P6" s="30" t="inlineStr">
        <is>
          <t>Claude (авт.)</t>
        </is>
      </c>
      <c r="Q6" s="30" t="inlineStr">
        <is>
          <t>28.08.2026</t>
        </is>
      </c>
    </row>
    <row r="7" ht="34.5" customHeight="1" s="22">
      <c r="A7" s="28" t="n">
        <v>6</v>
      </c>
      <c r="B7" s="49" t="n">
        <v>6</v>
      </c>
      <c r="C7" s="29" t="inlineStr">
        <is>
          <t>М. Маркова — ИИ за ускорено учене: практически инструменти</t>
        </is>
      </c>
      <c r="D7" s="28" t="inlineStr">
        <is>
          <t>Доклад в сборник (BG)</t>
        </is>
      </c>
      <c r="E7" s="28" t="inlineStr">
        <is>
          <t>2026</t>
        </is>
      </c>
      <c r="F7" s="29" t="inlineStr">
        <is>
          <t>Същият сборник, с. 541–546</t>
        </is>
      </c>
      <c r="G7" s="29" t="inlineStr">
        <is>
          <t>2026_p-94.md</t>
        </is>
      </c>
      <c r="H7" s="48" t="inlineStr">
        <is>
          <t>https://www.conf-dte.bg/docs/2026/p-94.pdf</t>
        </is>
      </c>
      <c r="I7" s="29" t="inlineStr">
        <is>
          <t>Сборник; проверка на диапазона 75–90 %</t>
        </is>
      </c>
      <c r="J7" s="33" t="inlineStr">
        <is>
          <t>Критичен</t>
        </is>
      </c>
      <c r="K7" s="29" t="inlineStr">
        <is>
          <t>Единственият източник за количествено твърдение, представено в текста в мн. ч. („публикувани описания“) — ред 31.</t>
        </is>
      </c>
      <c r="L7" s="28">
        <f>COUNTIF('Ниво 2 Твърдения'!$C$2:$C$65,"*["&amp;A7&amp;"]*")</f>
        <v/>
      </c>
      <c r="M7" s="30" t="inlineStr">
        <is>
          <t>Потвърдено</t>
        </is>
      </c>
      <c r="N7" s="30" t="inlineStr">
        <is>
          <t>2026_p-94.pdf, печ. стр. 541–546</t>
        </is>
      </c>
      <c r="O7" s="31" t="inlineStr">
        <is>
          <t>Мая Маркова — записът е верен. ВНИМАНИЕ: твърдението в ред 31 на Ниво 2 не се потвърждава.</t>
        </is>
      </c>
      <c r="P7" s="30" t="inlineStr">
        <is>
          <t>Claude (авт.)</t>
        </is>
      </c>
      <c r="Q7" s="30" t="inlineStr">
        <is>
          <t>28.08.2026</t>
        </is>
      </c>
    </row>
    <row r="8" ht="23.25" customHeight="1" s="22">
      <c r="A8" s="28" t="n">
        <v>7</v>
      </c>
      <c r="B8" s="49" t="n">
        <v>7</v>
      </c>
      <c r="C8" s="29" t="inlineStr">
        <is>
          <t>С. Гафтанджиева, Р. Донева — Генеративен ИИ в образованието</t>
        </is>
      </c>
      <c r="D8" s="28" t="inlineStr">
        <is>
          <t>Списание (BG)</t>
        </is>
      </c>
      <c r="E8" s="28" t="inlineStr">
        <is>
          <t>2025</t>
        </is>
      </c>
      <c r="F8" s="29" t="inlineStr">
        <is>
          <t>doi: 10.53656/ped2025-9.04; Педагогика, т. 97, кн. 9, с. 1284–1297</t>
        </is>
      </c>
      <c r="G8" s="29" t="inlineStr">
        <is>
          <t>generativen-...-reseniya.md</t>
        </is>
      </c>
      <c r="H8" s="48" t="inlineStr">
        <is>
          <t>https://journals.azbuki.bg/pedagogy/generativen-izkustven-intelekt-v-obrazovanieto-problemi-i-reseniya/view</t>
        </is>
      </c>
      <c r="I8" s="29" t="inlineStr">
        <is>
          <t>DOI резолвер; проверка на вторично цитираното число „една шеста“</t>
        </is>
      </c>
      <c r="J8" s="33" t="inlineStr">
        <is>
          <t>Критичен</t>
        </is>
      </c>
      <c r="K8" s="29" t="inlineStr">
        <is>
          <t>Числото е цитирано от друг източник — трябва проследяване до първоизточника (ред 61).</t>
        </is>
      </c>
      <c r="L8" s="28">
        <f>COUNTIF('Ниво 2 Твърдения'!$C$2:$C$65,"*["&amp;A8&amp;"]*")</f>
        <v/>
      </c>
      <c r="M8" s="30" t="inlineStr">
        <is>
          <t>Потвърдено</t>
        </is>
      </c>
      <c r="N8" s="30" t="inlineStr">
        <is>
          <t>печ. стр. 1284–1297; doi 10.53656/ped2025-9.04</t>
        </is>
      </c>
      <c r="O8" s="31" t="inlineStr">
        <is>
          <t>Педагогика, т. 97, кн. 9, 2025 — съвпада.</t>
        </is>
      </c>
      <c r="P8" s="30" t="inlineStr">
        <is>
          <t>Claude (авт.)</t>
        </is>
      </c>
      <c r="Q8" s="30" t="inlineStr">
        <is>
          <t>28.08.2026</t>
        </is>
      </c>
    </row>
    <row r="9" ht="34.5" customHeight="1" s="22">
      <c r="A9" s="28" t="n">
        <v>8</v>
      </c>
      <c r="B9" s="49" t="n">
        <v>8</v>
      </c>
      <c r="C9" s="29" t="inlineStr">
        <is>
          <t>Ц. Василев — ИИ в обучението: студент и преподавател</t>
        </is>
      </c>
      <c r="D9" s="28" t="inlineStr">
        <is>
          <t>Доклад в сборник (BG)</t>
        </is>
      </c>
      <c r="E9" s="28" t="inlineStr">
        <is>
          <t>2026</t>
        </is>
      </c>
      <c r="F9" s="29" t="inlineStr">
        <is>
          <t>Същият сборник, с. 24–32</t>
        </is>
      </c>
      <c r="G9" s="29" t="inlineStr">
        <is>
          <t>2026_p-3.md</t>
        </is>
      </c>
      <c r="H9" s="48" t="inlineStr">
        <is>
          <t>https://www.conf-dte.bg/docs/2026/p-3.pdf</t>
        </is>
      </c>
      <c r="I9" s="29" t="inlineStr">
        <is>
          <t>Сборник; проверка дали докладът наистина прави преглед на ~130 източника</t>
        </is>
      </c>
      <c r="J9" s="32" t="inlineStr">
        <is>
          <t>Висок</t>
        </is>
      </c>
      <c r="K9" s="29" t="inlineStr">
        <is>
          <t>Обзор на 130 източника в доклад от 9 страници е необичайно — ред 30.</t>
        </is>
      </c>
      <c r="L9" s="28">
        <f>COUNTIF('Ниво 2 Твърдения'!$C$2:$C$65,"*["&amp;A9&amp;"]*")</f>
        <v/>
      </c>
      <c r="M9" s="30" t="inlineStr">
        <is>
          <t>Потвърдено</t>
        </is>
      </c>
      <c r="N9" s="30" t="inlineStr">
        <is>
          <t>2026_p-3.pdf, печ. стр. 24–32</t>
        </is>
      </c>
      <c r="O9" s="31" t="inlineStr">
        <is>
          <t>Цветомир Василев — съвпада.</t>
        </is>
      </c>
      <c r="P9" s="30" t="inlineStr">
        <is>
          <t>Claude (авт.)</t>
        </is>
      </c>
      <c r="Q9" s="30" t="inlineStr">
        <is>
          <t>28.08.2026</t>
        </is>
      </c>
    </row>
    <row r="10" ht="23.25" customHeight="1" s="22">
      <c r="A10" s="28" t="n">
        <v>9</v>
      </c>
      <c r="B10" s="49" t="n">
        <v>9</v>
      </c>
      <c r="C10" s="29" t="inlineStr">
        <is>
          <t>Ц. Дуцова — аспекти на приложението на ИИ в образованието</t>
        </is>
      </c>
      <c r="D10" s="28" t="inlineStr">
        <is>
          <t>Доклад в сборник (BG)</t>
        </is>
      </c>
      <c r="E10" s="28" t="inlineStr">
        <is>
          <t>2025</t>
        </is>
      </c>
      <c r="F10" s="29" t="inlineStr">
        <is>
          <t>Трета конференция, Русе, с. 472–478</t>
        </is>
      </c>
      <c r="G10" s="29" t="inlineStr">
        <is>
          <t>2025_p-84.md</t>
        </is>
      </c>
      <c r="H10" s="48" t="inlineStr">
        <is>
          <t>https://www.conf-dte.bg/docs/2025/p-84.pdf</t>
        </is>
      </c>
      <c r="I10" s="29" t="inlineStr">
        <is>
          <t>Сборник</t>
        </is>
      </c>
      <c r="J10" s="28" t="inlineStr">
        <is>
          <t>Среден</t>
        </is>
      </c>
      <c r="K10" s="29" t="inlineStr">
        <is>
          <t>Достъп.</t>
        </is>
      </c>
      <c r="L10" s="28">
        <f>COUNTIF('Ниво 2 Твърдения'!$C$2:$C$65,"*["&amp;A10&amp;"]*")</f>
        <v/>
      </c>
      <c r="M10" s="30" t="inlineStr">
        <is>
          <t>Потвърдено</t>
        </is>
      </c>
      <c r="N10" s="30" t="inlineStr">
        <is>
          <t>2025_p-84.pdf, печ. стр. 472–478</t>
        </is>
      </c>
      <c r="O10" s="31" t="inlineStr">
        <is>
          <t>Цветанка Дуцова, Трета конференция 2025 — съвпада.</t>
        </is>
      </c>
      <c r="P10" s="30" t="inlineStr">
        <is>
          <t>Claude (авт.)</t>
        </is>
      </c>
      <c r="Q10" s="30" t="inlineStr">
        <is>
          <t>28.08.2026</t>
        </is>
      </c>
    </row>
    <row r="11" ht="45.75" customHeight="1" s="22">
      <c r="A11" s="28" t="n">
        <v>10</v>
      </c>
      <c r="B11" s="49" t="n">
        <v>10</v>
      </c>
      <c r="C11" s="29" t="inlineStr">
        <is>
          <t>„Challenges and recommendations for LLMs-as-a-judge in multilingual settings…“</t>
        </is>
      </c>
      <c r="D11" s="28" t="inlineStr">
        <is>
          <t>Препринт</t>
        </is>
      </c>
      <c r="E11" s="28" t="inlineStr">
        <is>
          <t>2026</t>
        </is>
      </c>
      <c r="F11" s="29" t="inlineStr">
        <is>
          <t>arXiv:2607.02235</t>
        </is>
      </c>
      <c r="G11" s="29" t="inlineStr">
        <is>
          <t>https://arxiv.org/html/2607.02235v1</t>
        </is>
      </c>
      <c r="H11" s="48" t="inlineStr">
        <is>
          <t>https://arxiv.org/html/2607.02235v1</t>
        </is>
      </c>
      <c r="I11" s="29" t="inlineStr">
        <is>
          <t>arxiv.org/abs/2607.02235 — първо съществуване, после авторство</t>
        </is>
      </c>
      <c r="J11" s="33" t="inlineStr">
        <is>
          <t>Критичен</t>
        </is>
      </c>
      <c r="K11" s="29" t="inlineStr">
        <is>
          <t>Записът е без автори — единственият такъв в списъка. Носи две числа (над 650 публикации, 33 изследвания) и подпира извод в „Изводи от първа глава“ (редове 60, 64).</t>
        </is>
      </c>
      <c r="L11" s="28">
        <f>COUNTIF('Ниво 2 Твърдения'!$C$2:$C$65,"*["&amp;A11&amp;"]*")</f>
        <v/>
      </c>
      <c r="M11" s="30" t="inlineStr">
        <is>
          <t>Потвърдено</t>
        </is>
      </c>
      <c r="N11" s="30" t="inlineStr">
        <is>
          <t>arXiv:2607.02235 — съществува</t>
        </is>
      </c>
      <c r="O11" s="31"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P11" s="30" t="inlineStr">
        <is>
          <t>Claude (авт.)</t>
        </is>
      </c>
      <c r="Q11" s="30" t="inlineStr">
        <is>
          <t>28.08.2026</t>
        </is>
      </c>
    </row>
    <row r="12" ht="45.75" customHeight="1" s="22">
      <c r="A12" s="28" t="n">
        <v>11</v>
      </c>
      <c r="B12" s="49" t="n">
        <v>23</v>
      </c>
      <c r="C12" s="29" t="inlineStr">
        <is>
          <t>Angular Team — Angular versioning and releases</t>
        </is>
      </c>
      <c r="D12" s="28" t="inlineStr">
        <is>
          <t>Вендорска документация</t>
        </is>
      </c>
      <c r="E12" s="28" t="inlineStr">
        <is>
          <t>2026</t>
        </is>
      </c>
      <c r="F12" s="29" t="inlineStr">
        <is>
          <t>https://angular.dev/reference/releases</t>
        </is>
      </c>
      <c r="G12" s="29" t="inlineStr">
        <is>
          <t>https://angular.dev/reference/releases#release-frequency</t>
        </is>
      </c>
      <c r="H12" s="48" t="inlineStr">
        <is>
          <t>https://angular.dev/reference/releases#release-frequency</t>
        </is>
      </c>
      <c r="I12" s="29" t="inlineStr">
        <is>
          <t>Отваряне на страницата; проверка дали подкрепя общото твърдение</t>
        </is>
      </c>
      <c r="J12" s="33" t="inlineStr">
        <is>
          <t>Критичен</t>
        </is>
      </c>
      <c r="K12" s="29" t="inlineStr">
        <is>
          <t>Непрофилен източник в педагогически труд; използван за обобщение за „широко използвани софтуерни рамки“ въз основа на една рамка (ред 7). Обмисли замяна или отпадане.</t>
        </is>
      </c>
      <c r="L12" s="28">
        <f>COUNTIF('Ниво 2 Твърдения'!$C$2:$C$65,"*["&amp;A12&amp;"]*")</f>
        <v/>
      </c>
      <c r="M12" s="30" t="inlineStr">
        <is>
          <t>Потвърдено</t>
        </is>
      </c>
      <c r="N12" s="30" t="inlineStr">
        <is>
          <t>angular.dev/reference/releases || ОТПАДА. Заменя се с Zhang и кол. (2019/2021), „An Empirical Study of Obsolete Answers on Stack Overflow“, IEEE Transactions on Software Engineering, 47(4), 850–862, doi 10.1109/TSE.2019.2906315. Рецензирано изследване вместо вендорска документация.</t>
        </is>
      </c>
      <c r="O12" s="31" t="inlineStr">
        <is>
          <t>Страницата съществува, но казва ЕДНА мажорна версия на 12 месеца и 24 месеца поддръжка (12 активна + 12 LTS). Виж ред 7 на Ниво 2. || НАНЕСЕНО В НИП 28.08: връзката става https://angular.dev/reference/releases#release-frequency — разделът наистина доказва една мажорна версия годишно, но само за Angular.</t>
        </is>
      </c>
      <c r="P12" s="30" t="inlineStr">
        <is>
          <t>Claude (авт.)</t>
        </is>
      </c>
      <c r="Q12" s="30" t="inlineStr">
        <is>
          <t>28.08.2026</t>
        </is>
      </c>
    </row>
    <row r="13" ht="23.25" customHeight="1" s="22">
      <c r="A13" s="28" t="n">
        <v>12</v>
      </c>
      <c r="B13" s="49" t="n">
        <v>13</v>
      </c>
      <c r="C13" s="29" t="inlineStr">
        <is>
          <t>C. Redecker — DigCompEdu</t>
        </is>
      </c>
      <c r="D13" s="28" t="inlineStr">
        <is>
          <t>Рамков документ (ЕС)</t>
        </is>
      </c>
      <c r="E13" s="28" t="inlineStr">
        <is>
          <t>2017</t>
        </is>
      </c>
      <c r="F13" s="29" t="inlineStr">
        <is>
          <t>JRC107466, Publications Office of the EU</t>
        </is>
      </c>
      <c r="G13" s="29" t="inlineStr">
        <is>
          <t>https://joint-research-centre.ec.europa.eu/digcompedu_en</t>
        </is>
      </c>
      <c r="H13" s="48" t="inlineStr">
        <is>
          <t>https://joint-research-centre.ec.europa.eu/digcompedu_en</t>
        </is>
      </c>
      <c r="I13" s="29" t="inlineStr">
        <is>
          <t>Свободно достъпен PDF на JRC</t>
        </is>
      </c>
      <c r="J13" s="28" t="inlineStr">
        <is>
          <t>Нисък</t>
        </is>
      </c>
      <c r="K13" s="29" t="inlineStr">
        <is>
          <t>Стабилен източник; проверява се само номерацията на област 2.</t>
        </is>
      </c>
      <c r="L13" s="28">
        <f>COUNTIF('Ниво 2 Твърдения'!$C$2:$C$65,"*["&amp;A13&amp;"]*")</f>
        <v/>
      </c>
      <c r="M13" s="30" t="inlineStr">
        <is>
          <t>Потвърдено</t>
        </is>
      </c>
      <c r="N13" s="30" t="inlineStr">
        <is>
          <t>JRC107466, Publications Office of the EU, 2017</t>
        </is>
      </c>
      <c r="O13" s="31" t="inlineStr">
        <is>
          <t>Redecker, ред. Punie — съвпада.</t>
        </is>
      </c>
      <c r="P13" s="30" t="inlineStr">
        <is>
          <t>Claude (авт.)</t>
        </is>
      </c>
      <c r="Q13" s="30" t="inlineStr">
        <is>
          <t>28.08.2026</t>
        </is>
      </c>
    </row>
    <row r="14" ht="34.5" customHeight="1" s="22">
      <c r="A14" s="28" t="n">
        <v>13</v>
      </c>
      <c r="B14" s="49" t="n">
        <v>14</v>
      </c>
      <c r="C14" s="29" t="inlineStr">
        <is>
          <t>D. Li et al. — From generation to judgment: LLM-as-a-judge</t>
        </is>
      </c>
      <c r="D14" s="28" t="inlineStr">
        <is>
          <t>Конференция + препринт</t>
        </is>
      </c>
      <c r="E14" s="28" t="inlineStr">
        <is>
          <t>2025</t>
        </is>
      </c>
      <c r="F14" s="29" t="inlineStr">
        <is>
          <t>EMNLP 2025; arXiv:2411.16594</t>
        </is>
      </c>
      <c r="G14" s="29" t="inlineStr">
        <is>
          <t>https://aclanthology.org/2025.emnlp-main.138/</t>
        </is>
      </c>
      <c r="H14" s="48" t="inlineStr">
        <is>
          <t>https://aclanthology.org/2025.emnlp-main.138/</t>
        </is>
      </c>
      <c r="I14" s="29" t="inlineStr">
        <is>
          <t>arXiv + ACL Anthology; сверяване дали двете версии съвпадат</t>
        </is>
      </c>
      <c r="J14" s="28" t="inlineStr">
        <is>
          <t>Среден</t>
        </is>
      </c>
      <c r="K14" s="29" t="inlineStr">
        <is>
          <t>Цитира се и като доклад, и като препринт — да се провери коя версия носи твърденията (редове 58, 59, 62).</t>
        </is>
      </c>
      <c r="L14" s="28">
        <f>COUNTIF('Ниво 2 Твърдения'!$C$2:$C$65,"*["&amp;A14&amp;"]*")</f>
        <v/>
      </c>
      <c r="M14" s="30" t="inlineStr">
        <is>
          <t>Потвърдено</t>
        </is>
      </c>
      <c r="N14" s="30" t="inlineStr">
        <is>
          <t>aclanthology.org/2025.emnlp-main.138, с. 2757–2791</t>
        </is>
      </c>
      <c r="O14" s="31" t="inlineStr">
        <is>
          <t>DOI: 10.18653/v1/2025.emnlp-main.138. ДЕЙСТВИЕ: добави страници и DOI към записа. || НАНЕСЕНО В НИП 28.08: добави pp. 2757–2791 и doi: 10.18653/v1/2025.emnlp-main.138.</t>
        </is>
      </c>
      <c r="P14" s="30" t="inlineStr">
        <is>
          <t>Claude (авт.)</t>
        </is>
      </c>
      <c r="Q14" s="30" t="inlineStr">
        <is>
          <t>28.08.2026</t>
        </is>
      </c>
    </row>
    <row r="15" ht="23.25" customHeight="1" s="22">
      <c r="A15" s="28" t="n">
        <v>14</v>
      </c>
      <c r="B15" s="49" t="n">
        <v>15</v>
      </c>
      <c r="C15" s="29" t="inlineStr">
        <is>
          <t>D. S. Chai et al. — Generative AI in instructional system design</t>
        </is>
      </c>
      <c r="D15" s="28" t="inlineStr">
        <is>
          <t>Списание</t>
        </is>
      </c>
      <c r="E15" s="28" t="inlineStr">
        <is>
          <t>2025</t>
        </is>
      </c>
      <c r="F15" s="29" t="inlineStr">
        <is>
          <t>doi: 10.1177/15344843251320256</t>
        </is>
      </c>
      <c r="G15" s="29" t="inlineStr">
        <is>
          <t>https://api.openalex.org/works/doi:10.1177/15344843251320256</t>
        </is>
      </c>
      <c r="H15" s="48" t="inlineStr">
        <is>
          <t>https://api.openalex.org/works/doi:10.1177/15344843251320256</t>
        </is>
      </c>
      <c r="I15" s="29" t="inlineStr">
        <is>
          <t>DOI; проверка на броя 71 публикации</t>
        </is>
      </c>
      <c r="J15" s="32" t="inlineStr">
        <is>
          <t>Висок</t>
        </is>
      </c>
      <c r="K15" s="29" t="inlineStr">
        <is>
          <t>Число в текста (ред 26).</t>
        </is>
      </c>
      <c r="L15" s="28">
        <f>COUNTIF('Ниво 2 Твърдения'!$C$2:$C$65,"*["&amp;A15&amp;"]*")</f>
        <v/>
      </c>
      <c r="M15" s="30" t="inlineStr">
        <is>
          <t>Потвърдено</t>
        </is>
      </c>
      <c r="N15" s="30" t="inlineStr">
        <is>
          <t>HRDR, т. 24, кн. 4, с. 388–417, 2025</t>
        </is>
      </c>
      <c r="O15" s="31" t="inlineStr">
        <is>
          <t>Шестимата автори съвпадат. ДЕЙСТВИЕ: добави том, книжка и страници. || НАНЕСЕНО В НИП 28.08: добави vol. 24, no. 4, pp. 388–417.</t>
        </is>
      </c>
      <c r="P15" s="30" t="inlineStr">
        <is>
          <t>Claude (авт.)</t>
        </is>
      </c>
      <c r="Q15" s="30" t="inlineStr">
        <is>
          <t>28.08.2026</t>
        </is>
      </c>
    </row>
    <row r="16" ht="15" customHeight="1" s="22">
      <c r="A16" s="28" t="n">
        <v>15</v>
      </c>
      <c r="B16" s="49" t="n">
        <v>16</v>
      </c>
      <c r="C16" s="29" t="inlineStr">
        <is>
          <t>E. Dickey, A. Bejarano — GAIDE</t>
        </is>
      </c>
      <c r="D16" s="28" t="inlineStr">
        <is>
          <t>Конференция (IEEE)</t>
        </is>
      </c>
      <c r="E16" s="28" t="inlineStr">
        <is>
          <t>2024</t>
        </is>
      </c>
      <c r="F16" s="29" t="inlineStr">
        <is>
          <t>doi: 10.1109/FIE61694.2024.10893132</t>
        </is>
      </c>
      <c r="G16" s="29" t="inlineStr">
        <is>
          <t>https://api.openalex.org/works/doi:10.1109/fie61694.2024.10893132</t>
        </is>
      </c>
      <c r="H16" s="48" t="inlineStr">
        <is>
          <t>https://api.openalex.org/works/doi:10.1109/fie61694.2024.10893132</t>
        </is>
      </c>
      <c r="I16" s="29" t="inlineStr">
        <is>
          <t>IEEE Xplore</t>
        </is>
      </c>
      <c r="J16" s="28" t="inlineStr">
        <is>
          <t>Нисък</t>
        </is>
      </c>
      <c r="K16" s="29" t="inlineStr">
        <is>
          <t>Стандартен запис.</t>
        </is>
      </c>
      <c r="L16" s="28">
        <f>COUNTIF('Ниво 2 Твърдения'!$C$2:$C$65,"*["&amp;A16&amp;"]*")</f>
        <v/>
      </c>
      <c r="M16" s="30" t="inlineStr">
        <is>
          <t>Потвърдено</t>
        </is>
      </c>
      <c r="N16" s="30" t="inlineStr">
        <is>
          <t>Proc. 2024 IEEE FIE, с. 1–9</t>
        </is>
      </c>
      <c r="O16" s="31" t="inlineStr">
        <is>
          <t>Ethan Dickey, Andres Bejarano — точно съвпадение.</t>
        </is>
      </c>
      <c r="P16" s="30" t="inlineStr">
        <is>
          <t>Claude (авт.)</t>
        </is>
      </c>
      <c r="Q16" s="30" t="inlineStr">
        <is>
          <t>28.08.2026</t>
        </is>
      </c>
    </row>
    <row r="17" ht="34.5" customHeight="1" s="22">
      <c r="A17" s="28" t="n">
        <v>16</v>
      </c>
      <c r="B17" s="49" t="n">
        <v>17</v>
      </c>
      <c r="C17" s="29" t="inlineStr">
        <is>
          <t>E. Kasneci et al. — ChatGPT for good?</t>
        </is>
      </c>
      <c r="D17" s="28" t="inlineStr">
        <is>
          <t>Списание</t>
        </is>
      </c>
      <c r="E17" s="28" t="inlineStr">
        <is>
          <t>2023</t>
        </is>
      </c>
      <c r="F17" s="29" t="inlineStr">
        <is>
          <t>doi: 10.1016/j.lindif.2023.102274</t>
        </is>
      </c>
      <c r="G17" s="29" t="inlineStr">
        <is>
          <t>https://opus.bibliothek.uni-augsburg.de/opus4/files/109030/109030.pdf</t>
        </is>
      </c>
      <c r="H17" s="48" t="inlineStr">
        <is>
          <t>https://opus.bibliothek.uni-augsburg.de/opus4/files/109030/109030.pdf</t>
        </is>
      </c>
      <c r="I17" s="29" t="inlineStr">
        <is>
          <t>DOI; отворен достъп</t>
        </is>
      </c>
      <c r="J17" s="28" t="inlineStr">
        <is>
          <t>Среден</t>
        </is>
      </c>
      <c r="K17" s="29" t="inlineStr">
        <is>
          <t>Най-натовареният източник — 9 отделни твърдения, вкл. правни (GDPR, ред 52) и нормативни (ред 46). Риск от свръхприписване.</t>
        </is>
      </c>
      <c r="L17" s="28">
        <f>COUNTIF('Ниво 2 Твърдения'!$C$2:$C$65,"*["&amp;A17&amp;"]*")</f>
        <v/>
      </c>
      <c r="M17" s="30" t="inlineStr">
        <is>
          <t>Потвърдено</t>
        </is>
      </c>
      <c r="N17" s="30" t="inlineStr">
        <is>
          <t>Learning and Individual Differences, т. 103, чл. 102274, 2023</t>
        </is>
      </c>
      <c r="O17" s="31" t="inlineStr">
        <is>
          <t>23 автора, първи Kasneci — точно.</t>
        </is>
      </c>
      <c r="P17" s="30" t="inlineStr">
        <is>
          <t>Claude (авт.)</t>
        </is>
      </c>
      <c r="Q17" s="30" t="inlineStr">
        <is>
          <t>28.08.2026</t>
        </is>
      </c>
    </row>
    <row r="18" ht="23.25" customHeight="1" s="22">
      <c r="A18" s="28" t="n">
        <v>17</v>
      </c>
      <c r="B18" s="49" t="n">
        <v>18</v>
      </c>
      <c r="C18" s="29" t="inlineStr">
        <is>
          <t>E. Staneviciene, G. Žekienė — мултимедия във висшето образование</t>
        </is>
      </c>
      <c r="D18" s="28" t="inlineStr">
        <is>
          <t>Списание</t>
        </is>
      </c>
      <c r="E18" s="28" t="inlineStr">
        <is>
          <t>2025</t>
        </is>
      </c>
      <c r="F18" s="29" t="inlineStr">
        <is>
          <t>doi: 10.3390/su17198859</t>
        </is>
      </c>
      <c r="G18" s="29" t="inlineStr">
        <is>
          <t>https://api.openalex.org/works/doi:10.3390/su17198859</t>
        </is>
      </c>
      <c r="H18" s="48" t="inlineStr">
        <is>
          <t>https://api.openalex.org/works/doi:10.3390/su17198859</t>
        </is>
      </c>
      <c r="I18" s="29" t="inlineStr">
        <is>
          <t>DOI; отворен достъп (MDPI)</t>
        </is>
      </c>
      <c r="J18" s="28" t="inlineStr">
        <is>
          <t>Нисък</t>
        </is>
      </c>
      <c r="K18" s="29" t="inlineStr">
        <is>
          <t>Стандартен запис.</t>
        </is>
      </c>
      <c r="L18" s="28">
        <f>COUNTIF('Ниво 2 Твърдения'!$C$2:$C$65,"*["&amp;A18&amp;"]*")</f>
        <v/>
      </c>
      <c r="M18" s="30" t="inlineStr">
        <is>
          <t>Потвърдено</t>
        </is>
      </c>
      <c r="N18" s="30" t="inlineStr">
        <is>
          <t>Sustainability, т. 17, кн. 19, чл. 8859, 2025</t>
        </is>
      </c>
      <c r="O18" s="31" t="inlineStr">
        <is>
          <t>Evelina Staneviciene, Gintarė Žekienė — точно.</t>
        </is>
      </c>
      <c r="P18" s="30" t="inlineStr">
        <is>
          <t>Claude (авт.)</t>
        </is>
      </c>
      <c r="Q18" s="30" t="inlineStr">
        <is>
          <t>28.08.2026</t>
        </is>
      </c>
    </row>
    <row r="19" ht="23.25" customHeight="1" s="22">
      <c r="A19" s="28" t="n">
        <v>18</v>
      </c>
      <c r="B19" s="49" t="n">
        <v>19</v>
      </c>
      <c r="C19" s="29" t="inlineStr">
        <is>
          <t>F. Miao, W. Holmes — Guidance for Generative AI in Education and Research</t>
        </is>
      </c>
      <c r="D19" s="28" t="inlineStr">
        <is>
          <t>Документ на ЮНЕСКО</t>
        </is>
      </c>
      <c r="E19" s="28" t="inlineStr">
        <is>
          <t>2023</t>
        </is>
      </c>
      <c r="F19" s="29" t="inlineStr">
        <is>
          <t>unesco.org</t>
        </is>
      </c>
      <c r="G19" s="29" t="inlineStr">
        <is>
          <t>https://www.unesco.org/en/articles/guidance-generative-ai-education-and-research</t>
        </is>
      </c>
      <c r="H19" s="48" t="inlineStr">
        <is>
          <t>https://www.unesco.org/en/articles/guidance-generative-ai-education-and-research</t>
        </is>
      </c>
      <c r="I19" s="29" t="inlineStr">
        <is>
          <t>Сайт на ЮНЕСКО</t>
        </is>
      </c>
      <c r="J19" s="28" t="inlineStr">
        <is>
          <t>Нисък</t>
        </is>
      </c>
      <c r="K19" s="29" t="inlineStr">
        <is>
          <t>Проверява се само списъкът от мерки (ред 48).</t>
        </is>
      </c>
      <c r="L19" s="28">
        <f>COUNTIF('Ниво 2 Твърдения'!$C$2:$C$65,"*["&amp;A19&amp;"]*")</f>
        <v/>
      </c>
      <c r="M19" s="30" t="inlineStr">
        <is>
          <t>Потвърдено</t>
        </is>
      </c>
      <c r="N19" s="30" t="inlineStr">
        <is>
          <t>UNESCO, 2023</t>
        </is>
      </c>
      <c r="O19" s="31" t="inlineStr">
        <is>
          <t>Miao, Fengchun и Holmes, Wayne — точно.</t>
        </is>
      </c>
      <c r="P19" s="30" t="inlineStr">
        <is>
          <t>Claude (авт.)</t>
        </is>
      </c>
      <c r="Q19" s="30" t="inlineStr">
        <is>
          <t>28.08.2026</t>
        </is>
      </c>
    </row>
    <row r="20" ht="23.25" customHeight="1" s="22">
      <c r="A20" s="28" t="n">
        <v>19</v>
      </c>
      <c r="B20" s="49" t="n">
        <v>20</v>
      </c>
      <c r="C20" s="29" t="inlineStr">
        <is>
          <t>G. W. Choi et al. — SWOT анализ за генеративен ИИ в инструкционния дизайн</t>
        </is>
      </c>
      <c r="D20" s="28" t="inlineStr">
        <is>
          <t>Списание</t>
        </is>
      </c>
      <c r="E20" s="28" t="inlineStr">
        <is>
          <t>2024</t>
        </is>
      </c>
      <c r="F20" s="29" t="inlineStr">
        <is>
          <t>doi: 10.1007/s11528-024-00967-w</t>
        </is>
      </c>
      <c r="G20" s="29" t="inlineStr">
        <is>
          <t>https://api.openalex.org/works/doi:10.1007/s11528-024-00967-w</t>
        </is>
      </c>
      <c r="H20" s="48" t="inlineStr">
        <is>
          <t>https://api.openalex.org/works/doi:10.1007/s11528-024-00967-w</t>
        </is>
      </c>
      <c r="I20" s="29" t="inlineStr">
        <is>
          <t>DOI</t>
        </is>
      </c>
      <c r="J20" s="28" t="inlineStr">
        <is>
          <t>Нисък</t>
        </is>
      </c>
      <c r="K20" s="29" t="inlineStr">
        <is>
          <t>Стандартен запис; 4 твърдения.</t>
        </is>
      </c>
      <c r="L20" s="28">
        <f>COUNTIF('Ниво 2 Твърдения'!$C$2:$C$65,"*["&amp;A20&amp;"]*")</f>
        <v/>
      </c>
      <c r="M20" s="30" t="inlineStr">
        <is>
          <t>Потвърдено</t>
        </is>
      </c>
      <c r="N20" s="30" t="inlineStr">
        <is>
          <t>TechTrends, т. 68, кн. 4, с. 832–844, 2024</t>
        </is>
      </c>
      <c r="O20" s="31" t="inlineStr">
        <is>
          <t>G. W. Choi, S. H. Kim, D. Lee, J. Moon — точно.</t>
        </is>
      </c>
      <c r="P20" s="30" t="inlineStr">
        <is>
          <t>Claude (авт.)</t>
        </is>
      </c>
      <c r="Q20" s="30" t="inlineStr">
        <is>
          <t>28.08.2026</t>
        </is>
      </c>
    </row>
    <row r="21" ht="23.25" customHeight="1" s="22">
      <c r="A21" s="28" t="n">
        <v>20</v>
      </c>
      <c r="B21" s="49" t="n">
        <v>22</v>
      </c>
      <c r="C21" s="29" t="inlineStr">
        <is>
          <t>H. Yao et al. — Instructional Agents</t>
        </is>
      </c>
      <c r="D21" s="28" t="inlineStr">
        <is>
          <t>Конференция</t>
        </is>
      </c>
      <c r="E21" s="28" t="inlineStr">
        <is>
          <t>2026</t>
        </is>
      </c>
      <c r="F21" s="29" t="inlineStr">
        <is>
          <t>Proc. EACL 2026, т. 1, с. 4087–4109</t>
        </is>
      </c>
      <c r="G21" s="29" t="inlineStr">
        <is>
          <t>https://aclanthology.org/2026.eacl-long.191/</t>
        </is>
      </c>
      <c r="H21" s="48" t="inlineStr">
        <is>
          <t>https://aclanthology.org/2026.eacl-long.191/</t>
        </is>
      </c>
      <c r="I21" s="29" t="inlineStr">
        <is>
          <t>ACL Anthology</t>
        </is>
      </c>
      <c r="J21" s="32" t="inlineStr">
        <is>
          <t>Висок</t>
        </is>
      </c>
      <c r="K21" s="29" t="inlineStr">
        <is>
          <t>Публикация от 2026 г. с точни страници — потвърди, че томът е излязъл и че страниците съвпадат.</t>
        </is>
      </c>
      <c r="L21" s="28">
        <f>COUNTIF('Ниво 2 Твърдения'!$C$2:$C$65,"*["&amp;A21&amp;"]*")</f>
        <v/>
      </c>
      <c r="M21" s="30" t="inlineStr">
        <is>
          <t>Потвърдено</t>
        </is>
      </c>
      <c r="N21" s="30" t="inlineStr">
        <is>
          <t>aclanthology.org/2026.eacl-long.191, т. 1, с. 4087–4109</t>
        </is>
      </c>
      <c r="O21" s="31" t="inlineStr">
        <is>
          <t>Съществува. Автори H. Yao, W. Xu, J. Turnau, N. Kellam, H. Wei; страниците съвпадат. DOI: 10.18653/v1/2026.eacl-long.191 — ДЕЙСТВИЕ: добави го. || НАНЕСЕНО В НИП 28.08: добави doi: 10.18653/v1/2026.eacl-long.191.</t>
        </is>
      </c>
      <c r="P21" s="30" t="inlineStr">
        <is>
          <t>Claude (авт.)</t>
        </is>
      </c>
      <c r="Q21" s="30" t="inlineStr">
        <is>
          <t>28.08.2026</t>
        </is>
      </c>
    </row>
    <row r="22" ht="23.25" customHeight="1" s="22">
      <c r="A22" s="28" t="n">
        <v>21</v>
      </c>
      <c r="B22" s="49" t="inlineStr">
        <is>
          <t>ОТПАДА</t>
        </is>
      </c>
      <c r="C22" s="29" t="inlineStr">
        <is>
          <t>I. du Preez, L. Jacobs — принципи за онлайн учебни материали</t>
        </is>
      </c>
      <c r="D22" s="28" t="inlineStr">
        <is>
          <t>Списание</t>
        </is>
      </c>
      <c r="E22" s="28" t="inlineStr">
        <is>
          <t>2025</t>
        </is>
      </c>
      <c r="F22" s="29" t="inlineStr">
        <is>
          <t>doi: 10.1080/10494820.2025.2523390</t>
        </is>
      </c>
      <c r="G22" s="29" t="inlineStr">
        <is>
          <t>https://api.openalex.org/works/doi:10.1080/10494820.2025.2523390</t>
        </is>
      </c>
      <c r="H22" s="48" t="inlineStr">
        <is>
          <t>https://api.openalex.org/works/doi:10.1080/10494820.2025.2523390</t>
        </is>
      </c>
      <c r="I22" s="29" t="inlineStr">
        <is>
          <t>DOI</t>
        </is>
      </c>
      <c r="J22" s="28" t="inlineStr">
        <is>
          <t>Среден</t>
        </is>
      </c>
      <c r="K22" s="29" t="inlineStr">
        <is>
          <t>Записът е без том и книжка, само страници — непълен по IEEE.</t>
        </is>
      </c>
      <c r="L22" s="28">
        <f>COUNTIF('Ниво 2 Твърдения'!$C$2:$C$65,"*["&amp;A22&amp;"]*")</f>
        <v/>
      </c>
      <c r="M22" s="30" t="inlineStr">
        <is>
          <t>Потвърдено</t>
        </is>
      </c>
      <c r="N22" s="30" t="inlineStr">
        <is>
          <t>Interactive Learning Environments, т. 34, кн. 3, с. 1435–1451, 2025 || НЯМА ДОСТЪП. ПРЕПОРЪКА: отпада. Ред 15 се пренасочва към [29] Quality Matters, който вече е потвърден (8 общи и 44 конкретни стандарта) и е точно „проверими насоки за дизайн и оценяване“. Ред 54 остава на Mayer 2021.</t>
        </is>
      </c>
      <c r="O22" s="31" t="inlineStr">
        <is>
          <t>ДЕЙСТВИЕ: добави том и книжка — записът беше непълен. || НАНЕСЕНО В НИП 28.08: добави vol. 34, no. 3.</t>
        </is>
      </c>
      <c r="P22" s="30" t="inlineStr">
        <is>
          <t>Claude (авт.)</t>
        </is>
      </c>
      <c r="Q22" s="30" t="inlineStr">
        <is>
          <t>28.08.2026</t>
        </is>
      </c>
    </row>
    <row r="23" ht="45.75" customHeight="1" s="22">
      <c r="A23" s="28" t="n">
        <v>22</v>
      </c>
      <c r="B23" s="49" t="n">
        <v>24</v>
      </c>
      <c r="C23" s="29" t="inlineStr">
        <is>
          <t>IEEE Standard for Learning Object Metadata</t>
        </is>
      </c>
      <c r="D23" s="28" t="inlineStr">
        <is>
          <t>Стандарт</t>
        </is>
      </c>
      <c r="E23" s="28" t="inlineStr">
        <is>
          <t>2020</t>
        </is>
      </c>
      <c r="F23" s="29" t="inlineStr">
        <is>
          <t>IEEE Std 1484.12.1-2020</t>
        </is>
      </c>
      <c r="G23" s="29" t="inlineStr">
        <is>
          <t>https://ieeexplore.ieee.org/document/9262118/</t>
        </is>
      </c>
      <c r="H23" s="48" t="inlineStr">
        <is>
          <t>https://ieeexplore.ieee.org/document/9262118/</t>
        </is>
      </c>
      <c r="I23" s="29" t="inlineStr">
        <is>
          <t>IEEE SA; проверка на броя категории в ревизията от 2020 г.</t>
        </is>
      </c>
      <c r="J23" s="33" t="inlineStr">
        <is>
          <t>Критичен</t>
        </is>
      </c>
      <c r="K23" s="29" t="inlineStr">
        <is>
          <t>Твърдението за „девет категории“ произхожда от версията от 2002 г. Ревизията от 2020 г. има променена структура — ред 6 може да е верен за грешното издание.</t>
        </is>
      </c>
      <c r="L23" s="28">
        <f>COUNTIF('Ниво 2 Твърдения'!$C$2:$C$65,"*["&amp;A23&amp;"]*")</f>
        <v/>
      </c>
      <c r="M23" s="30" t="inlineStr">
        <is>
          <t>Потвърдено</t>
        </is>
      </c>
      <c r="N23" s="30" t="inlineStr">
        <is>
          <t>IEEE Std 1484.12.1-2020 || НЯМА ДОСТЪП. ПРЕПОРЪКА: твърдението за деветте категории и четирите признака на Educational категорията не бива да стои без прочетен стандарт. Или се търси свободен източник, който описва схемата, или изречението се свежда до съществуването на международен стандарт за метаданни без изброяване на съдържанието му. || РЕШЕНО: съдържанието е потвърдено през свободното ръководство на 1EdTech/IMS за LOM v1.3. Записът трябва да сочи версията, която наистина е проверена.</t>
        </is>
      </c>
      <c r="O23" s="31"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P23" s="30" t="inlineStr">
        <is>
          <t>Claude (авт.)</t>
        </is>
      </c>
      <c r="Q23" s="30" t="inlineStr">
        <is>
          <t>28.08.2026</t>
        </is>
      </c>
    </row>
    <row r="24" ht="23.25" customHeight="1" s="22">
      <c r="A24" s="28" t="n">
        <v>23</v>
      </c>
      <c r="B24" s="49" t="n">
        <v>25</v>
      </c>
      <c r="C24" s="29" t="inlineStr">
        <is>
          <t>J. Biggs, C. Tang, G. Kennedy — Teaching for Quality Learning at University</t>
        </is>
      </c>
      <c r="D24" s="28" t="inlineStr">
        <is>
          <t>Книга</t>
        </is>
      </c>
      <c r="E24" s="28" t="inlineStr">
        <is>
          <t>2022</t>
        </is>
      </c>
      <c r="F24" s="29" t="inlineStr">
        <is>
          <t>5-о изд., Open University Press</t>
        </is>
      </c>
      <c r="G24" s="29" t="inlineStr">
        <is>
          <t>https://www.mheducation.co.uk/teaching-for-quality-learning-at-university-5e-9780335250820-emea-group</t>
        </is>
      </c>
      <c r="H24" s="48" t="inlineStr">
        <is>
          <t>https://www.mheducation.co.uk/teaching-for-quality-learning-at-university-5e-9780335250820-emea-group</t>
        </is>
      </c>
      <c r="I24" s="29" t="inlineStr">
        <is>
          <t>Каталог на издателя/ISBN</t>
        </is>
      </c>
      <c r="J24" s="28" t="inlineStr">
        <is>
          <t>Среден</t>
        </is>
      </c>
      <c r="K24" s="29" t="inlineStr">
        <is>
          <t>Провери годината, изданието и състава на авторите за 5-о изд.</t>
        </is>
      </c>
      <c r="L24" s="28">
        <f>COUNTIF('Ниво 2 Твърдения'!$C$2:$C$65,"*["&amp;A24&amp;"]*")</f>
        <v/>
      </c>
      <c r="M24" s="30" t="inlineStr">
        <is>
          <t>Потвърдено</t>
        </is>
      </c>
      <c r="N24" s="30" t="inlineStr">
        <is>
          <t>ISBN 9780335250820, McGraw Hill / Open University Press || НЯМА ДОСТЪП. ПРЕПОРЪКА: замяна с първоизточника на конструктивното съгласуване — Biggs, J. (1996). „Enhancing teaching through constructive alignment.“ Higher Education, 32(3), 347–364. Статия, не учебник, намира се далеч по-лесно. || ПРОВЕРЕН СВАЛЕНИЯТ ФАЙЛ: Enhancing_Teaching_Through_Constructive_Alignment.pdf е ПРЕЗЕНТАЦИЯ на PowerPoint от 2009 г. („Slide 1“, Acrobat PDFMaker for PowerPoint), 2332 думи слайдов текст, без резюме и без списък с литература. НЕ Е годна за цитиране в научен труд. Търси се статията Biggs (1996), Higher Education, 32(3), 347–364. || РЕШЕНО: свален е правилният файл Biggs1996_Article_EnhancingTeachingThroughConstr.pdf, Higher Education 32: 347–364. Учебникът от 2022 г. отпада.</t>
        </is>
      </c>
      <c r="O24" s="31" t="inlineStr">
        <is>
          <t>5-о изд., Biggs, Tang, Kennedy. Годината 2022 да се сверя в каталога на издателя при финалната редакция.</t>
        </is>
      </c>
      <c r="P24" s="30" t="inlineStr">
        <is>
          <t>Claude (авт.)</t>
        </is>
      </c>
      <c r="Q24" s="30" t="inlineStr">
        <is>
          <t>28.08.2026</t>
        </is>
      </c>
    </row>
    <row r="25" ht="34.5" customHeight="1" s="22">
      <c r="A25" s="28" t="n">
        <v>24</v>
      </c>
      <c r="B25" s="49" t="n">
        <v>26</v>
      </c>
      <c r="C25" s="29" t="inlineStr">
        <is>
          <t>J. Sweller, J. van Merriënboer, F. Paas — Cognitive architecture… 20 years later</t>
        </is>
      </c>
      <c r="D25" s="28" t="inlineStr">
        <is>
          <t>Списание</t>
        </is>
      </c>
      <c r="E25" s="28" t="inlineStr">
        <is>
          <t>2019</t>
        </is>
      </c>
      <c r="F25" s="29" t="inlineStr">
        <is>
          <t>doi: 10.1007/s10648-019-09465-5</t>
        </is>
      </c>
      <c r="G25" s="29" t="inlineStr">
        <is>
          <t>https://api.openalex.org/works/doi:10.1007/s10648-019-09465-5</t>
        </is>
      </c>
      <c r="H25" s="48" t="inlineStr">
        <is>
          <t>https://api.openalex.org/works/doi:10.1007/s10648-019-09465-5</t>
        </is>
      </c>
      <c r="I25" s="29" t="inlineStr">
        <is>
          <t>DOI</t>
        </is>
      </c>
      <c r="J25" s="32" t="inlineStr">
        <is>
          <t>Висок</t>
        </is>
      </c>
      <c r="K25" s="29" t="inlineStr">
        <is>
          <t>В тази статия авторите ревизират схващането за „полезно натоварване“ — формулировката в ред 11 трябва да съвпадне с ревизираната.</t>
        </is>
      </c>
      <c r="L25" s="28">
        <f>COUNTIF('Ниво 2 Твърдения'!$C$2:$C$65,"*["&amp;A25&amp;"]*")</f>
        <v/>
      </c>
      <c r="M25" s="30" t="inlineStr">
        <is>
          <t>Потвърдено</t>
        </is>
      </c>
      <c r="N25" s="30" t="inlineStr">
        <is>
          <t>Educational Psychology Review, т. 31, кн. 2, с. 261–292, 2019</t>
        </is>
      </c>
      <c r="O25" s="31" t="inlineStr">
        <is>
          <t>Точно съвпадение.</t>
        </is>
      </c>
      <c r="P25" s="30" t="inlineStr">
        <is>
          <t>Claude (авт.)</t>
        </is>
      </c>
      <c r="Q25" s="30" t="inlineStr">
        <is>
          <t>28.08.2026</t>
        </is>
      </c>
    </row>
    <row r="26" ht="23.25" customHeight="1" s="22">
      <c r="A26" s="28" t="n">
        <v>25</v>
      </c>
      <c r="B26" s="49" t="n">
        <v>27</v>
      </c>
      <c r="C26" s="29" t="inlineStr">
        <is>
          <t>L. Huang et al. — A survey on hallucination in LLMs</t>
        </is>
      </c>
      <c r="D26" s="28" t="inlineStr">
        <is>
          <t>Списание</t>
        </is>
      </c>
      <c r="E26" s="28" t="inlineStr">
        <is>
          <t>2025</t>
        </is>
      </c>
      <c r="F26" s="29" t="inlineStr">
        <is>
          <t>doi: 10.1145/3703155</t>
        </is>
      </c>
      <c r="G26" s="29" t="inlineStr">
        <is>
          <t>https://arxiv.org/abs/2311.05232</t>
        </is>
      </c>
      <c r="H26" s="48" t="inlineStr">
        <is>
          <t>https://arxiv.org/abs/2311.05232</t>
        </is>
      </c>
      <c r="I26" s="29" t="inlineStr">
        <is>
          <t>DOI</t>
        </is>
      </c>
      <c r="J26" s="28" t="inlineStr">
        <is>
          <t>Среден</t>
        </is>
      </c>
      <c r="K26" s="29" t="inlineStr">
        <is>
          <t>Терминологична точност — „фактологични“ vs „faithfulness“ халюцинации (ред 22).</t>
        </is>
      </c>
      <c r="L26" s="28">
        <f>COUNTIF('Ниво 2 Твърдения'!$C$2:$C$65,"*["&amp;A26&amp;"]*")</f>
        <v/>
      </c>
      <c r="M26" s="30" t="inlineStr">
        <is>
          <t>Потвърдено</t>
        </is>
      </c>
      <c r="N26" s="30" t="inlineStr">
        <is>
          <t>ACM TOIS, т. 43, кн. 2, с. 1–55</t>
        </is>
      </c>
      <c r="O26" s="31" t="inlineStr">
        <is>
          <t>Онлайн 2024, книжка 2025 — годината 2025 в записа е защитима.</t>
        </is>
      </c>
      <c r="P26" s="30" t="inlineStr">
        <is>
          <t>Claude (авт.)</t>
        </is>
      </c>
      <c r="Q26" s="30" t="inlineStr">
        <is>
          <t>28.08.2026</t>
        </is>
      </c>
    </row>
    <row r="27" ht="34.5" customHeight="1" s="22">
      <c r="A27" s="28" t="n">
        <v>26</v>
      </c>
      <c r="B27" s="49" t="n">
        <v>28</v>
      </c>
      <c r="C27" s="29" t="inlineStr">
        <is>
          <t>L. Zheng et al. — Judging LLM-as-a-judge with MT-Bench and Chatbot Arena</t>
        </is>
      </c>
      <c r="D27" s="28" t="inlineStr">
        <is>
          <t>Конференция</t>
        </is>
      </c>
      <c r="E27" s="28" t="inlineStr">
        <is>
          <t>2023</t>
        </is>
      </c>
      <c r="F27" s="29" t="inlineStr">
        <is>
          <t>NeurIPS 2023 D&amp;B; arXiv:2306.05685</t>
        </is>
      </c>
      <c r="G27" s="29" t="inlineStr">
        <is>
          <t>https://arxiv.org/html/2306.05685v4</t>
        </is>
      </c>
      <c r="H27" s="48" t="inlineStr">
        <is>
          <t>https://arxiv.org/html/2306.05685v4</t>
        </is>
      </c>
      <c r="I27" s="29" t="inlineStr">
        <is>
          <t>arXiv</t>
        </is>
      </c>
      <c r="J27" s="33" t="inlineStr">
        <is>
          <t>Критичен</t>
        </is>
      </c>
      <c r="K27" s="29" t="inlineStr">
        <is>
          <t>Носи три процента (над 80, ~85, ~81), които се появяват два пъти в текста (редове 57 и 63) и трябва да съвпадат помежду си.</t>
        </is>
      </c>
      <c r="L27" s="28">
        <f>COUNTIF('Ниво 2 Твърдения'!$C$2:$C$65,"*["&amp;A27&amp;"]*")</f>
        <v/>
      </c>
      <c r="M27" s="30" t="inlineStr">
        <is>
          <t>Потвърдено</t>
        </is>
      </c>
      <c r="N27" s="30" t="inlineStr">
        <is>
          <t>arXiv:2306.05685, NeurIPS 2023 D&amp;B</t>
        </is>
      </c>
      <c r="O27" s="31" t="inlineStr">
        <is>
          <t>13 автора, първи Lianmin Zheng — точно.</t>
        </is>
      </c>
      <c r="P27" s="30" t="inlineStr">
        <is>
          <t>Claude (авт.)</t>
        </is>
      </c>
      <c r="Q27" s="30" t="inlineStr">
        <is>
          <t>28.08.2026</t>
        </is>
      </c>
    </row>
    <row r="28" ht="23.25" customHeight="1" s="22">
      <c r="A28" s="28" t="n">
        <v>27</v>
      </c>
      <c r="B28" s="49" t="n">
        <v>29</v>
      </c>
      <c r="C28" s="29" t="inlineStr">
        <is>
          <t>M. D. Merrill — First principles of instruction</t>
        </is>
      </c>
      <c r="D28" s="28" t="inlineStr">
        <is>
          <t>Списание</t>
        </is>
      </c>
      <c r="E28" s="28" t="inlineStr">
        <is>
          <t>2002</t>
        </is>
      </c>
      <c r="F28" s="29" t="inlineStr">
        <is>
          <t>doi: 10.1007/BF02505024; т. 50, кн. 3, с. 43–59</t>
        </is>
      </c>
      <c r="G28" s="29" t="inlineStr">
        <is>
          <t>https://api.openalex.org/works/doi:10.1007/bf02505024</t>
        </is>
      </c>
      <c r="H28" s="48" t="inlineStr">
        <is>
          <t>https://api.openalex.org/works/doi:10.1007/bf02505024</t>
        </is>
      </c>
      <c r="I28" s="29" t="inlineStr">
        <is>
          <t>DOI</t>
        </is>
      </c>
      <c r="J28" s="32" t="inlineStr">
        <is>
          <t>Висок</t>
        </is>
      </c>
      <c r="K28" s="29" t="inlineStr">
        <is>
          <t>Локаторът „с. 44–45“ трябва да съдържа точно петте принципа (ред 9).</t>
        </is>
      </c>
      <c r="L28" s="28">
        <f>COUNTIF('Ниво 2 Твърдения'!$C$2:$C$65,"*["&amp;A28&amp;"]*")</f>
        <v/>
      </c>
      <c r="M28" s="30" t="inlineStr">
        <is>
          <t>Потвърдено</t>
        </is>
      </c>
      <c r="N28" s="30" t="inlineStr">
        <is>
          <t>ETR&amp;D, т. 50, кн. 3, с. 43–59, 2002</t>
        </is>
      </c>
      <c r="O28" s="31" t="inlineStr">
        <is>
          <t>Точно съвпадение. Локаторът с. 44–45 остава за Ниво 2.</t>
        </is>
      </c>
      <c r="P28" s="30" t="inlineStr">
        <is>
          <t>Claude (авт.)</t>
        </is>
      </c>
      <c r="Q28" s="30" t="inlineStr">
        <is>
          <t>28.08.2026</t>
        </is>
      </c>
    </row>
    <row r="29" ht="23.25" customHeight="1" s="22">
      <c r="A29" s="28" t="n">
        <v>28</v>
      </c>
      <c r="B29" s="49" t="n">
        <v>31</v>
      </c>
      <c r="C29" s="29" t="inlineStr">
        <is>
          <t>O. Zawacki-Richter et al. — Systematic review of AI in higher education</t>
        </is>
      </c>
      <c r="D29" s="28" t="inlineStr">
        <is>
          <t>Списание</t>
        </is>
      </c>
      <c r="E29" s="28" t="inlineStr">
        <is>
          <t>2019</t>
        </is>
      </c>
      <c r="F29" s="29" t="inlineStr">
        <is>
          <t>doi: 10.1186/s41239-019-0171-0</t>
        </is>
      </c>
      <c r="G29" s="29" t="inlineStr">
        <is>
          <t>https://link.springer.com/article/10.1186/s41239-019-0171-0</t>
        </is>
      </c>
      <c r="H29" s="48" t="inlineStr">
        <is>
          <t>https://link.springer.com/article/10.1186/s41239-019-0171-0</t>
        </is>
      </c>
      <c r="I29" s="29" t="inlineStr">
        <is>
          <t>DOI; отворен достъп</t>
        </is>
      </c>
      <c r="J29" s="28" t="inlineStr">
        <is>
          <t>Среден</t>
        </is>
      </c>
      <c r="K29" s="29" t="inlineStr">
        <is>
          <t>Периодът 2007–2018 и изводът за участието на педагози (ред 35).</t>
        </is>
      </c>
      <c r="L29" s="28">
        <f>COUNTIF('Ниво 2 Твърдения'!$C$2:$C$65,"*["&amp;A29&amp;"]*")</f>
        <v/>
      </c>
      <c r="M29" s="30" t="inlineStr">
        <is>
          <t>Потвърдено</t>
        </is>
      </c>
      <c r="N29" s="30" t="inlineStr">
        <is>
          <t>IJETHE, т. 16, чл. 39, 2019</t>
        </is>
      </c>
      <c r="O29" s="31" t="inlineStr">
        <is>
          <t>Четиримата автори съвпадат. Периодът 2007–2018 е потвърден (146 от 2656 публикации).</t>
        </is>
      </c>
      <c r="P29" s="30" t="inlineStr">
        <is>
          <t>Claude (авт.)</t>
        </is>
      </c>
      <c r="Q29" s="30" t="inlineStr">
        <is>
          <t>28.08.2026</t>
        </is>
      </c>
    </row>
    <row r="30" ht="23.25" customHeight="1" s="22">
      <c r="A30" s="28" t="n">
        <v>29</v>
      </c>
      <c r="B30" s="49" t="n">
        <v>32</v>
      </c>
      <c r="C30" s="29" t="inlineStr">
        <is>
          <t>Quality Matters — QM Higher Education Rubric, 7-о изд.</t>
        </is>
      </c>
      <c r="D30" s="28" t="inlineStr">
        <is>
          <t>Рубрика/стандарт</t>
        </is>
      </c>
      <c r="E30" s="28" t="inlineStr">
        <is>
          <t>2023</t>
        </is>
      </c>
      <c r="F30" s="29" t="inlineStr">
        <is>
          <t>qualitymatters.org</t>
        </is>
      </c>
      <c r="G30" s="29" t="inlineStr">
        <is>
          <t>https://educationaldevelopment.uams.edu/qualitymatters/qm-rubric</t>
        </is>
      </c>
      <c r="H30" s="48" t="inlineStr">
        <is>
          <t>https://educationaldevelopment.uams.edu/qualitymatters/qm-rubric</t>
        </is>
      </c>
      <c r="I30" s="29" t="inlineStr">
        <is>
          <t>Сайт на QM; официално описание на 7-о издание</t>
        </is>
      </c>
      <c r="J30" s="33" t="inlineStr">
        <is>
          <t>Критичен</t>
        </is>
      </c>
      <c r="K30" s="29" t="inlineStr">
        <is>
          <t>Числата „8 общи и 44 конкретни стандарта“ се менят между изданията (в 6-о изд. са 42) — ред 55.</t>
        </is>
      </c>
      <c r="L30" s="28">
        <f>COUNTIF('Ниво 2 Твърдения'!$C$2:$C$65,"*["&amp;A30&amp;"]*")</f>
        <v/>
      </c>
      <c r="M30" s="30" t="inlineStr">
        <is>
          <t>Потвърдено</t>
        </is>
      </c>
      <c r="N30" s="30" t="inlineStr">
        <is>
          <t>QM HE Rubric, 7-о изд.</t>
        </is>
      </c>
      <c r="O30" s="31" t="inlineStr">
        <is>
          <t>Потвърдено: 8 общи и 44 конкретни ревизионни стандарта. Виж ред 55.</t>
        </is>
      </c>
      <c r="P30" s="30" t="inlineStr">
        <is>
          <t>Claude (авт.)</t>
        </is>
      </c>
      <c r="Q30" s="30" t="inlineStr">
        <is>
          <t>28.08.2026</t>
        </is>
      </c>
    </row>
    <row r="31" ht="45.75" customHeight="1" s="22">
      <c r="A31" s="34" t="n">
        <v>30</v>
      </c>
      <c r="B31" s="49" t="inlineStr">
        <is>
          <t>ОТПАДА</t>
        </is>
      </c>
      <c r="C31" s="35" t="inlineStr">
        <is>
          <t>R. C. Clark, R. E. Mayer — e-Learning and the Science of Instruction</t>
        </is>
      </c>
      <c r="D31" s="34" t="inlineStr">
        <is>
          <t>Книга</t>
        </is>
      </c>
      <c r="E31" s="34" t="inlineStr">
        <is>
          <t>2024</t>
        </is>
      </c>
      <c r="F31" s="35" t="inlineStr">
        <is>
          <t>5-о изд., Wiley</t>
        </is>
      </c>
      <c r="G31" s="35" t="inlineStr">
        <is>
          <t>https://www.harvard.com/book/9781394177370</t>
        </is>
      </c>
      <c r="H31" s="48" t="inlineStr">
        <is>
          <t>https://www.harvard.com/book/9781394177370</t>
        </is>
      </c>
      <c r="I31" s="35" t="inlineStr">
        <is>
          <t>Каталог на Wiley; съдържание на изданието</t>
        </is>
      </c>
      <c r="J31" s="36" t="inlineStr">
        <is>
          <t>Критичен</t>
        </is>
      </c>
      <c r="K31" s="35" t="inlineStr">
        <is>
          <t>Втори по натовареност източник — 5 твърдения с локатори по глави (1, 4, 9, 12, 13, 21). Провери и годината на 5-о изд., и че номерата на главите отговарят на това издание.</t>
        </is>
      </c>
      <c r="L31" s="34">
        <f>COUNTIF('Ниво 2 Твърдения'!$C$2:$C$65,"*["&amp;A31&amp;"]*")</f>
        <v/>
      </c>
      <c r="M31" s="34" t="inlineStr">
        <is>
          <t>Не се потвърждава</t>
        </is>
      </c>
      <c r="N31" s="34" t="inlineStr">
        <is>
          <t>Wiley, 5-о изд., ISBN 9781394177370 — 12.12.2023 г. || ПРОВЕРЕНА ЗАМЯНА (отхвърлена): scirp.org/pdf/psych_2023051914322531.pdf се оказва „Online Learning: A Cognitive Tool for Learning…“, A. Fenteng, сп. Psychology (SCIRP), 2023, doi 10.4236/psych.2023.145036. Друга тема, друг автор, не съдържа принципите на мултимедийното учене. НЕ Е годна замяна на Clark &amp; Mayer.</t>
        </is>
      </c>
      <c r="O31" s="35" t="inlineStr">
        <is>
          <t>ГРЕШКА В ЗАПИСА: 5-о издание е публикувано на 12 декември 2023 г., не 2024. ДЕЙСТВИЕ: поправи годината на 2023 във всички препратки. || НАНЕСЕНО В НИП 28.08: годината става 2023.</t>
        </is>
      </c>
      <c r="P31" s="34" t="inlineStr">
        <is>
          <t>Claude (авт.)</t>
        </is>
      </c>
      <c r="Q31" s="34" t="inlineStr">
        <is>
          <t>28.08.2026</t>
        </is>
      </c>
    </row>
    <row r="32" ht="34.5" customHeight="1" s="22">
      <c r="A32" s="28" t="n">
        <v>31</v>
      </c>
      <c r="B32" s="49" t="n">
        <v>34</v>
      </c>
      <c r="C32" s="29" t="inlineStr">
        <is>
          <t>Регламент (ЕС) 2024/1689 (Акт за изкуствения интелект)</t>
        </is>
      </c>
      <c r="D32" s="28" t="inlineStr">
        <is>
          <t>Правен акт</t>
        </is>
      </c>
      <c r="E32" s="28" t="inlineStr">
        <is>
          <t>2024</t>
        </is>
      </c>
      <c r="F32" s="29" t="inlineStr">
        <is>
          <t>OJ L, 2024/1689, 12.7.2024</t>
        </is>
      </c>
      <c r="G32" s="29" t="inlineStr">
        <is>
          <t>https://eur-lex.europa.eu/eli/reg/2024/1689/oj</t>
        </is>
      </c>
      <c r="H32" s="48" t="inlineStr">
        <is>
          <t>https://eur-lex.europa.eu/eli/reg/2024/1689/oj</t>
        </is>
      </c>
      <c r="I32" s="29" t="inlineStr">
        <is>
          <t>EUR-Lex</t>
        </is>
      </c>
      <c r="J32" s="32" t="inlineStr">
        <is>
          <t>Висок</t>
        </is>
      </c>
      <c r="K32" s="29" t="inlineStr">
        <is>
          <t>Твърдението за прозрачност при генерирано съдържание трябва да сочи конкретен член (чл. 50) — ред 50.</t>
        </is>
      </c>
      <c r="L32" s="28">
        <f>COUNTIF('Ниво 2 Твърдения'!$C$2:$C$65,"*["&amp;A32&amp;"]*")</f>
        <v/>
      </c>
      <c r="M32" s="30" t="inlineStr">
        <is>
          <t>Потвърдено</t>
        </is>
      </c>
      <c r="N32" s="30" t="inlineStr">
        <is>
          <t>Регламент (ЕС) 2024/1689, OJ L 2024/1689, 12.7.2024</t>
        </is>
      </c>
      <c r="O32" s="31" t="inlineStr">
        <is>
          <t>Приет 13.06.2024 — съвпада. Членът за прозрачност (чл. 50) да се посочи в текста (Ниво 2, ред 50).</t>
        </is>
      </c>
      <c r="P32" s="30" t="inlineStr">
        <is>
          <t>Claude (авт.)</t>
        </is>
      </c>
      <c r="Q32" s="30" t="inlineStr">
        <is>
          <t>28.08.2026</t>
        </is>
      </c>
    </row>
    <row r="33" ht="23.25" customHeight="1" s="22">
      <c r="A33" s="28" t="n">
        <v>32</v>
      </c>
      <c r="B33" s="49" t="n">
        <v>35</v>
      </c>
      <c r="C33" s="29" t="inlineStr">
        <is>
          <t>S. G. Ramezani, Z. S. Mostafavi — скала за акредитационни стандарти</t>
        </is>
      </c>
      <c r="D33" s="28" t="inlineStr">
        <is>
          <t>Списание</t>
        </is>
      </c>
      <c r="E33" s="28" t="inlineStr">
        <is>
          <t>2025</t>
        </is>
      </c>
      <c r="F33" s="29" t="inlineStr">
        <is>
          <t>doi: 10.1007/s10639-025-13587-5</t>
        </is>
      </c>
      <c r="G33" s="29" t="inlineStr">
        <is>
          <t>https://api.openalex.org/works/doi:10.1007/s10639-025-13587-5</t>
        </is>
      </c>
      <c r="H33" s="48" t="inlineStr">
        <is>
          <t>https://api.openalex.org/works/doi:10.1007/s10639-025-13587-5</t>
        </is>
      </c>
      <c r="I33" s="29" t="inlineStr">
        <is>
          <t>DOI</t>
        </is>
      </c>
      <c r="J33" s="28" t="inlineStr">
        <is>
          <t>Нисък</t>
        </is>
      </c>
      <c r="K33" s="29" t="inlineStr">
        <is>
          <t>Стандартен запис.</t>
        </is>
      </c>
      <c r="L33" s="28">
        <f>COUNTIF('Ниво 2 Твърдения'!$C$2:$C$65,"*["&amp;A33&amp;"]*")</f>
        <v/>
      </c>
      <c r="M33" s="30" t="inlineStr">
        <is>
          <t>Потвърдено</t>
        </is>
      </c>
      <c r="N33" s="30" t="inlineStr">
        <is>
          <t>Education and Information Technologies, т. 30, кн. 15, с. 21139–21187, 2025</t>
        </is>
      </c>
      <c r="O33" s="31" t="inlineStr">
        <is>
          <t>Точно съвпадение.</t>
        </is>
      </c>
      <c r="P33" s="30" t="inlineStr">
        <is>
          <t>Claude (авт.)</t>
        </is>
      </c>
      <c r="Q33" s="30" t="inlineStr">
        <is>
          <t>28.08.2026</t>
        </is>
      </c>
    </row>
    <row r="34" ht="34.5" customHeight="1" s="22">
      <c r="A34" s="28" t="n">
        <v>33</v>
      </c>
      <c r="B34" s="49" t="n">
        <v>36</v>
      </c>
      <c r="C34" s="29" t="inlineStr">
        <is>
          <t>S. J. Warren et al. — Enhancing quality assurance through AI integration</t>
        </is>
      </c>
      <c r="D34" s="28" t="inlineStr">
        <is>
          <t>Списание</t>
        </is>
      </c>
      <c r="E34" s="28" t="inlineStr">
        <is>
          <t>2026</t>
        </is>
      </c>
      <c r="F34" s="29" t="inlineStr">
        <is>
          <t>Quality Assurance in Education, т. 34, кн. 2, с. 205–222</t>
        </is>
      </c>
      <c r="G34" s="29" t="inlineStr">
        <is>
          <t>https://www.emerald.com/qae/article/34/2/205/1302250/Enhancing-quality-assurance-through-strategic</t>
        </is>
      </c>
      <c r="H34" s="48" t="inlineStr">
        <is>
          <t>https://www.emerald.com/qae/article/34/2/205/1302250/Enhancing-quality-assurance-through-strategic</t>
        </is>
      </c>
      <c r="I34" s="29" t="inlineStr">
        <is>
          <t>Сайт на Emerald; търсене по заглавие</t>
        </is>
      </c>
      <c r="J34" s="32" t="inlineStr">
        <is>
          <t>Висок</t>
        </is>
      </c>
      <c r="K34" s="29" t="inlineStr">
        <is>
          <t>Единственият запис в списъка на списание без DOI, при това с година 2026. Потвърди съществуването и допълни DOI.</t>
        </is>
      </c>
      <c r="L34" s="28">
        <f>COUNTIF('Ниво 2 Твърдения'!$C$2:$C$65,"*["&amp;A34&amp;"]*")</f>
        <v/>
      </c>
      <c r="M34" s="30" t="inlineStr">
        <is>
          <t>Потвърдено</t>
        </is>
      </c>
      <c r="N34" s="30" t="inlineStr">
        <is>
          <t>QAE, т. 34, кн. 2, с. 205–222, 2026</t>
        </is>
      </c>
      <c r="O34" s="31"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P34" s="30" t="inlineStr">
        <is>
          <t>Claude (авт.)</t>
        </is>
      </c>
      <c r="Q34" s="30" t="inlineStr">
        <is>
          <t>28.08.2026</t>
        </is>
      </c>
    </row>
    <row r="35" ht="23.25" customHeight="1" s="22">
      <c r="A35" s="28" t="n">
        <v>34</v>
      </c>
      <c r="B35" s="49" t="n">
        <v>37</v>
      </c>
      <c r="C35" s="29" t="inlineStr">
        <is>
          <t>UNESCO — Recommendation on Open Educational Resources</t>
        </is>
      </c>
      <c r="D35" s="28" t="inlineStr">
        <is>
          <t>Препоръка (ЮНЕСКО)</t>
        </is>
      </c>
      <c r="E35" s="28" t="inlineStr">
        <is>
          <t>2019</t>
        </is>
      </c>
      <c r="F35" s="29" t="inlineStr">
        <is>
          <t>unesdoc.unesco.org/ark:/48223/pf0000383205</t>
        </is>
      </c>
      <c r="G35" s="29" t="inlineStr">
        <is>
          <t>https://unesdoc.unesco.org/ark:/48223/pf0000383205</t>
        </is>
      </c>
      <c r="H35" s="48" t="inlineStr">
        <is>
          <t>https://unesdoc.unesco.org/ark:/48223/pf0000383205</t>
        </is>
      </c>
      <c r="I35" s="29" t="inlineStr">
        <is>
          <t>UNESDOC</t>
        </is>
      </c>
      <c r="J35" s="28" t="inlineStr">
        <is>
          <t>Нисък</t>
        </is>
      </c>
      <c r="K35" s="29" t="inlineStr">
        <is>
          <t>Стабилен източник.</t>
        </is>
      </c>
      <c r="L35" s="28">
        <f>COUNTIF('Ниво 2 Твърдения'!$C$2:$C$65,"*["&amp;A35&amp;"]*")</f>
        <v/>
      </c>
      <c r="M35" s="30" t="inlineStr">
        <is>
          <t>Потвърдено</t>
        </is>
      </c>
      <c r="N35" s="30" t="inlineStr">
        <is>
          <t>UNESCO, 2019</t>
        </is>
      </c>
      <c r="O35" s="31" t="inlineStr">
        <is>
          <t>Документът съществува. Самата ark-връзка да се отвори при финалната редакция — страницата се зарежда динамично и не се провери автоматично.</t>
        </is>
      </c>
      <c r="P35" s="30" t="inlineStr">
        <is>
          <t>Claude (авт.)</t>
        </is>
      </c>
      <c r="Q35" s="30" t="inlineStr">
        <is>
          <t>28.08.2026</t>
        </is>
      </c>
    </row>
    <row r="36" ht="34.5" customHeight="1" s="22">
      <c r="A36" s="28" t="n">
        <v>35</v>
      </c>
      <c r="B36" s="49" t="inlineStr">
        <is>
          <t>ОТПАДА</t>
        </is>
      </c>
      <c r="C36" s="29" t="inlineStr">
        <is>
          <t>X. Chen, Z. Hu, C. Wang — Empowering education development through AIGC</t>
        </is>
      </c>
      <c r="D36" s="28" t="inlineStr">
        <is>
          <t>Списание</t>
        </is>
      </c>
      <c r="E36" s="28" t="inlineStr">
        <is>
          <t>2024</t>
        </is>
      </c>
      <c r="F36" s="29" t="inlineStr">
        <is>
          <t>doi: 10.1007/s10639-024-12549-7</t>
        </is>
      </c>
      <c r="G36" s="29" t="inlineStr">
        <is>
          <t>https://link.springer.com/content/pdf/10.1007/s10639-024-12549-7.pdf</t>
        </is>
      </c>
      <c r="H36" s="48" t="inlineStr">
        <is>
          <t>https://link.springer.com/content/pdf/10.1007/s10639-024-12549-7.pdf</t>
        </is>
      </c>
      <c r="I36" s="29" t="inlineStr">
        <is>
          <t>DOI</t>
        </is>
      </c>
      <c r="J36" s="32" t="inlineStr">
        <is>
          <t>Висок</t>
        </is>
      </c>
      <c r="K36" s="29" t="inlineStr">
        <is>
          <t>Най-често използваният чужд източник след [16] — 6 твърдения, част от които изглеждат като авторски синтез (редове 8, 23).</t>
        </is>
      </c>
      <c r="L36" s="28">
        <f>COUNTIF('Ниво 2 Твърдения'!$C$2:$C$65,"*["&amp;A36&amp;"]*")</f>
        <v/>
      </c>
      <c r="M36" s="30" t="inlineStr">
        <is>
          <t>Потвърдено</t>
        </is>
      </c>
      <c r="N36" s="30" t="inlineStr">
        <is>
          <t>Education and Information Technologies, т. 29, кн. 13, с. 17485–17537, 2024 || НЯМА ДОСТЪП до пълния текст. ПРЕПОРЪКА: ред 19 се пренасочва към Wang и кол. 2024 (ESWA), който е свален и проверен; ред 37 вече е там; ред 45 се пренасочва към Wu, Wang и Wen 2026 (Acta Psychologica 266, 106874), който документира „excessive dependence on AI outputs“. Остава да носи само ред 16 (понятието AIGC) — или отпада изцяло. || ОТПАДА ИЗЦЯЛО. И четирите му места са прехвърлени към Bahroun и кол. 2023, Sustainability 15(17), 12983 — библиометричен и съдържателен преглед на генеративния ИИ в образованието, свободен достъп. Wang и кол. 2024 (ESWA) НЕ ставаше: „developments, such as generative AI, are absent from our sample articles“.</t>
        </is>
      </c>
      <c r="O36" s="31" t="inlineStr">
        <is>
          <t>X. Chen, Z. Hu, C. Wang — точно.</t>
        </is>
      </c>
      <c r="P36" s="30" t="inlineStr">
        <is>
          <t>Claude (авт.)</t>
        </is>
      </c>
      <c r="Q36" s="30" t="inlineStr">
        <is>
          <t>28.08.2026</t>
        </is>
      </c>
    </row>
    <row r="37" ht="15" customHeight="1" s="22">
      <c r="A37" s="28" t="n">
        <v>36</v>
      </c>
      <c r="B37" s="49" t="n">
        <v>41</v>
      </c>
      <c r="C37" s="29" t="inlineStr">
        <is>
          <t>Z. Liu et al. — COGENT</t>
        </is>
      </c>
      <c r="D37" s="28" t="inlineStr">
        <is>
          <t>Работилница (BEA 2025)</t>
        </is>
      </c>
      <c r="E37" s="28" t="inlineStr">
        <is>
          <t>2025</t>
        </is>
      </c>
      <c r="F37" s="29" t="inlineStr">
        <is>
          <t>Proc. BEA 2025</t>
        </is>
      </c>
      <c r="G37" s="29" t="inlineStr">
        <is>
          <t>https://aclanthology.org/2025.bea-1.10/</t>
        </is>
      </c>
      <c r="H37" s="48" t="inlineStr">
        <is>
          <t>https://aclanthology.org/2025.bea-1.10/</t>
        </is>
      </c>
      <c r="I37" s="29" t="inlineStr">
        <is>
          <t>ACL Anthology</t>
        </is>
      </c>
      <c r="J37" s="28" t="inlineStr">
        <is>
          <t>Нисък</t>
        </is>
      </c>
      <c r="K37" s="29" t="inlineStr">
        <is>
          <t>Стандартен запис.</t>
        </is>
      </c>
      <c r="L37" s="28">
        <f>COUNTIF('Ниво 2 Твърдения'!$C$2:$C$65,"*["&amp;A37&amp;"]*")</f>
        <v/>
      </c>
      <c r="M37" s="30" t="inlineStr">
        <is>
          <t>Потвърдено</t>
        </is>
      </c>
      <c r="N37" s="30" t="inlineStr">
        <is>
          <t>aclanthology.org/2025.bea-1.10, с. 129–143</t>
        </is>
      </c>
      <c r="O37" s="31" t="inlineStr">
        <is>
          <t>Z. Liu, S. X. Yin, D. H.-L. Goh, N. F. Chen. DOI: 10.18653/v1/2025.bea-1.10. ДЕЙСТВИЕ: добави страници и DOI. || НАНЕСЕНО В НИП 28.08: добави pp. 129–143 и doi: 10.18653/v1/2025.bea-1.10.</t>
        </is>
      </c>
      <c r="P37" s="30" t="inlineStr">
        <is>
          <t>Claude (авт.)</t>
        </is>
      </c>
      <c r="Q37" s="30" t="inlineStr">
        <is>
          <t>28.08.2026</t>
        </is>
      </c>
    </row>
  </sheetData>
  <autoFilter ref="A1:N37"/>
  <dataValidations count="1">
    <dataValidation sqref="J2:J37"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style="22" min="1" max="1"/>
    <col width="110" customWidth="1" style="22" min="2" max="2"/>
    <col width="8" customWidth="1" style="22" min="3" max="3"/>
    <col width="16" customWidth="1" style="22" min="4" max="4"/>
  </cols>
  <sheetData>
    <row r="1">
      <c r="A1" s="47" t="inlineStr">
        <is>
          <t>Нов №</t>
        </is>
      </c>
      <c r="B1" s="47" t="inlineStr">
        <is>
          <t>Библиографски запис</t>
        </is>
      </c>
      <c r="C1" s="47" t="inlineStr">
        <is>
          <t>Стар №</t>
        </is>
      </c>
      <c r="D1" s="47" t="inlineStr">
        <is>
          <t>Бележка</t>
        </is>
      </c>
    </row>
    <row r="2" ht="32" customHeight="1" s="22">
      <c r="A2" s="49" t="n">
        <v>1</v>
      </c>
      <c r="B2" s="49" t="inlineStr">
        <is>
          <t>А. Захариев, „Изкуственият интелект в образователната и научна степен „доктор“: дигитализация, регулация и кредитна акселерация“,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15–23.</t>
        </is>
      </c>
      <c r="C2" s="49" t="n">
        <v>1</v>
      </c>
      <c r="D2" s="49" t="inlineStr"/>
    </row>
    <row r="3" ht="32" customHeight="1" s="22">
      <c r="A3" s="49" t="n">
        <v>2</v>
      </c>
      <c r="B3" s="49" t="inlineStr">
        <is>
          <t>Д. Димитранов и Г. Димитров, „Изкуственият интелект като инструмент за автоматизирано създаване на бази данни от тестови въпроси“,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576–580.</t>
        </is>
      </c>
      <c r="C3" s="49" t="n">
        <v>2</v>
      </c>
      <c r="D3" s="49" t="inlineStr"/>
    </row>
    <row r="4" ht="32" customHeight="1" s="22">
      <c r="A4" s="49" t="n">
        <v>3</v>
      </c>
      <c r="B4" s="49" t="inlineStr">
        <is>
          <t>Е. Даскалова, О. Попова, С. Стефанов, М. Пенчева и В. Стефанова, „Концептуален дизайн за базирана на изкуствен интелект платформа за обучение на студенти по дентална анатомия“,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554–558.</t>
        </is>
      </c>
      <c r="C4" s="49" t="n">
        <v>3</v>
      </c>
      <c r="D4" s="49" t="inlineStr"/>
    </row>
    <row r="5" ht="32" customHeight="1" s="22">
      <c r="A5" s="49" t="n">
        <v>4</v>
      </c>
      <c r="B5" s="49" t="inlineStr">
        <is>
          <t>М. Дамесова, „Овладяване на сложни концепции чрез генеративен изкуствен интелект и дигитален storytelling“,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717–721.</t>
        </is>
      </c>
      <c r="C5" s="49" t="n">
        <v>4</v>
      </c>
      <c r="D5" s="49" t="inlineStr"/>
    </row>
    <row r="6" ht="32" customHeight="1" s="22">
      <c r="A6" s="49" t="n">
        <v>5</v>
      </c>
      <c r="B6" s="49" t="inlineStr">
        <is>
          <t>М. Левунлиева, „ИИ в образованието – перспективата на педагога“,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605–610.</t>
        </is>
      </c>
      <c r="C6" s="49" t="n">
        <v>5</v>
      </c>
      <c r="D6" s="49" t="inlineStr"/>
    </row>
    <row r="7" ht="32" customHeight="1" s="22">
      <c r="A7" s="49" t="n">
        <v>6</v>
      </c>
      <c r="B7" s="49" t="inlineStr">
        <is>
          <t>М. Маркова, „Изкуственият интелект в помощ на ускореното учене: практически инструменти за преподаватели“,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541–546.</t>
        </is>
      </c>
      <c r="C7" s="49" t="n">
        <v>6</v>
      </c>
      <c r="D7" s="49" t="inlineStr"/>
    </row>
    <row r="8" ht="32" customHeight="1" s="22">
      <c r="A8" s="49" t="n">
        <v>7</v>
      </c>
      <c r="B8" s="49" t="inlineStr">
        <is>
          <t>С. Гафтанджиева и Р. Донева, „Генеративен изкуствен интелект в образованието: проблеми и решения“, Педагогика, т. 97, кн. 9, с. 1284–1297, 2025, doi: 10.53656/ped2025-9.04.</t>
        </is>
      </c>
      <c r="C8" s="49" t="n">
        <v>7</v>
      </c>
      <c r="D8" s="49" t="inlineStr"/>
    </row>
    <row r="9" ht="32" customHeight="1" s="22">
      <c r="A9" s="49" t="n">
        <v>8</v>
      </c>
      <c r="B9" s="49" t="inlineStr">
        <is>
          <t>Ц. Василев, „Използване на изкуствен интелект в обучението – гледна точка на студент и преподавател“,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24–32.</t>
        </is>
      </c>
      <c r="C9" s="49" t="n">
        <v>8</v>
      </c>
      <c r="D9" s="49" t="inlineStr"/>
    </row>
    <row r="10" ht="32" customHeight="1" s="22">
      <c r="A10" s="49" t="n">
        <v>9</v>
      </c>
      <c r="B10" s="49" t="inlineStr">
        <is>
          <t>Ц. Дуцова, „Някои аспекти на приложение на изкуствения интелект в образованието“, в Сб. докл. Трета национална научно-практическа конференция „Дигитална трансформация на образованието – проблеми и решения“, Русе, България, 2025, с. 472–478.</t>
        </is>
      </c>
      <c r="C10" s="49" t="n">
        <v>9</v>
      </c>
      <c r="D10" s="49" t="inlineStr"/>
    </row>
    <row r="11" ht="32" customHeight="1" s="22">
      <c r="A11" s="49" t="n">
        <v>10</v>
      </c>
      <c r="B11" s="49" t="inlineStr">
        <is>
          <t>A. S. Doğruöz et al., "Challenges and recommendations for LLMs-as-a-judge in multilingual settings and low-resource languages," 2026, arXiv:2607.02235.</t>
        </is>
      </c>
      <c r="C11" s="49" t="n">
        <v>10</v>
      </c>
      <c r="D11" s="49" t="inlineStr"/>
    </row>
    <row r="12" ht="32" customHeight="1" s="22">
      <c r="A12" s="49" t="n">
        <v>11</v>
      </c>
      <c r="B12" s="49" t="inlineStr">
        <is>
          <t>A. Sangrà, D. Vlachopoulos, and N. Cabrera, "Building an inclusive definition of e-learning: An approach to the conceptual framework," The International Review of Research in Open and Distributed Learning, vol. 13, no. 2, pp. 145–159, 2012, doi: 10.19173/irrodl.v13i2.1161.</t>
        </is>
      </c>
      <c r="C12" s="49" t="inlineStr"/>
      <c r="D12" s="49" t="inlineStr">
        <is>
          <t>НОВ ИЗТОЧНИК</t>
        </is>
      </c>
    </row>
    <row r="13" ht="32" customHeight="1" s="22">
      <c r="A13" s="49" t="n">
        <v>12</v>
      </c>
      <c r="B13" s="49" t="inlineStr">
        <is>
          <t>AI-Generated Content Best Practices, v1.0, 1EdTech Consortium, Lake Mary, FL, USA, 2025. [Online]. Available: https://www.imsglobal.org/resource/AI-Generated_Content_Best_Practices/v1p0</t>
        </is>
      </c>
      <c r="C13" s="49" t="inlineStr"/>
      <c r="D13" s="49" t="inlineStr">
        <is>
          <t>НОВ ИЗТОЧНИК</t>
        </is>
      </c>
    </row>
    <row r="14" ht="32" customHeight="1" s="22">
      <c r="A14" s="49" t="n">
        <v>13</v>
      </c>
      <c r="B14" s="49" t="inlineStr">
        <is>
          <t>C. Redecker, European Framework for the Digital Competence of Educators: DigCompEdu, Y. Punie, Ed. Luxembourg: Publications Office of the European Union, 2017, JRC107466.</t>
        </is>
      </c>
      <c r="C14" s="49" t="n">
        <v>12</v>
      </c>
      <c r="D14" s="49" t="inlineStr"/>
    </row>
    <row r="15" ht="32" customHeight="1" s="22">
      <c r="A15" s="49" t="n">
        <v>14</v>
      </c>
      <c r="B15" s="49" t="inlineStr">
        <is>
          <t>D. Li et al., "From generation to judgment: Opportunities and challenges of LLM-as-a-judge," in Proc. 2025 Conference on Empirical Methods in Natural Language Processing (EMNLP), 2025, pp. 2757–2791, doi: 10.18653/v1/2025.emnlp-main.138.</t>
        </is>
      </c>
      <c r="C15" s="49" t="n">
        <v>13</v>
      </c>
      <c r="D15" s="49" t="inlineStr"/>
    </row>
    <row r="16" ht="32" customHeight="1" s="22">
      <c r="A16" s="49" t="n">
        <v>15</v>
      </c>
      <c r="B16" s="49" t="inlineStr">
        <is>
          <t>D. S. Chai, H. S. Kim, K. N. Kim, Y. Ha, S. S. H. Shin, and S. W. Yoon, "Generative artificial intelligence in instructional system design," Human Resource Development Review, vol. 24, no. 4, pp. 388–417, 2025, doi: 10.1177/15344843251320256.</t>
        </is>
      </c>
      <c r="C16" s="49" t="n">
        <v>14</v>
      </c>
      <c r="D16" s="49" t="inlineStr"/>
    </row>
    <row r="17" ht="32" customHeight="1" s="22">
      <c r="A17" s="49" t="n">
        <v>16</v>
      </c>
      <c r="B17" s="49" t="inlineStr">
        <is>
          <t>E. Dickey and A. Bejarano, "GAIDE: A framework for using generative AI to assist in course content development," in Proc. 2024 IEEE Frontiers in Education Conference (FIE), 2024, pp. 1–9, doi: 10.1109/FIE61694.2024.10893132.</t>
        </is>
      </c>
      <c r="C17" s="49" t="n">
        <v>15</v>
      </c>
      <c r="D17" s="49" t="inlineStr"/>
    </row>
    <row r="18" ht="32" customHeight="1" s="22">
      <c r="A18" s="49" t="n">
        <v>17</v>
      </c>
      <c r="B18" s="49" t="inlineStr">
        <is>
          <t>E. Kasneci et al., "ChatGPT for good? On opportunities and challenges of large language models for education," Learning and Individual Differences, vol. 103, Art. no. 102274, 2023, doi: 10.1016/j.lindif.2023.102274.</t>
        </is>
      </c>
      <c r="C18" s="49" t="n">
        <v>16</v>
      </c>
      <c r="D18" s="49" t="inlineStr"/>
    </row>
    <row r="19" ht="32" customHeight="1" s="22">
      <c r="A19" s="49" t="n">
        <v>18</v>
      </c>
      <c r="B19" s="49" t="inlineStr">
        <is>
          <t>E. Staneviciene and G. Žekienė, "The use of multimedia in the teaching and learning process of higher education: A systematic review," Sustainability, vol. 17, no. 19, Art. no. 8859, 2025, doi: 10.3390/su17198859.</t>
        </is>
      </c>
      <c r="C19" s="49" t="n">
        <v>17</v>
      </c>
      <c r="D19" s="49" t="inlineStr"/>
    </row>
    <row r="20" ht="32" customHeight="1" s="22">
      <c r="A20" s="49" t="n">
        <v>19</v>
      </c>
      <c r="B20" s="49" t="inlineStr">
        <is>
          <t>F. Miao and W. Holmes, Guidance for Generative AI in Education and Research. Paris, France: UNESCO, 2023. [Online]. Available: https://www.unesco.org/en/articles/guidance-generative-ai-education-and-research</t>
        </is>
      </c>
      <c r="C20" s="49" t="n">
        <v>18</v>
      </c>
      <c r="D20" s="49" t="inlineStr"/>
    </row>
    <row r="21" ht="32" customHeight="1" s="22">
      <c r="A21" s="49" t="n">
        <v>20</v>
      </c>
      <c r="B21" s="49" t="inlineStr">
        <is>
          <t>G. W. Choi, S. H. Kim, D. Lee, and J. Moon, "Utilizing generative AI for instructional design: Exploring strengths, weaknesses, opportunities, and threats," TechTrends, vol. 68, no. 4, pp. 832–844, 2024, doi: 10.1007/s11528-024-00967-w.</t>
        </is>
      </c>
      <c r="C21" s="49" t="n">
        <v>19</v>
      </c>
      <c r="D21" s="49" t="inlineStr"/>
    </row>
    <row r="22" ht="32" customHeight="1" s="22">
      <c r="A22" s="49" t="n">
        <v>21</v>
      </c>
      <c r="B22" s="49" t="inlineStr">
        <is>
          <t>H. Wu, Z. Wang, and X. Wen, "Examining interactive AI-supported learning environments: The mediating role of AI metacognition and the moderating role of cognitive flexibility," Acta Psychologica, vol. 266, Art. no. 106874, 2026.</t>
        </is>
      </c>
      <c r="C22" s="49" t="inlineStr"/>
      <c r="D22" s="49" t="inlineStr">
        <is>
          <t>НОВ ИЗТОЧНИК</t>
        </is>
      </c>
    </row>
    <row r="23" ht="32" customHeight="1" s="22">
      <c r="A23" s="49" t="n">
        <v>22</v>
      </c>
      <c r="B23" s="49" t="inlineStr">
        <is>
          <t>H. Yao, W. Xu, J. Turnau, N. Kellam, and H. Wei, "Instructional agents: Reducing teaching faculty workload through multi-agent instructional design," in Proc. EACL 2026, vol. 1, 2026, pp. 4087–4109, doi: 10.18653/v1/2026.eacl-long.191.</t>
        </is>
      </c>
      <c r="C23" s="49" t="n">
        <v>20</v>
      </c>
      <c r="D23" s="49" t="inlineStr"/>
    </row>
    <row r="24" ht="32" customHeight="1" s="22">
      <c r="A24" s="49" t="n">
        <v>23</v>
      </c>
      <c r="B24" s="49" t="inlineStr">
        <is>
          <t>H. Zhang, S. Wang, T.-H. Chen, Y. Zou, and A. E. Hassan, "An empirical study of obsolete answers on Stack Overflow," IEEE Transactions on Software Engineering, vol. 47, no. 4, pp. 850–862, 2021, doi: 10.1109/TSE.2019.2906315.</t>
        </is>
      </c>
      <c r="C24" s="49" t="n">
        <v>11</v>
      </c>
      <c r="D24" s="49" t="inlineStr">
        <is>
          <t>НОВ ИЗТОЧНИК</t>
        </is>
      </c>
    </row>
    <row r="25" ht="32" customHeight="1" s="22">
      <c r="A25" s="49" t="n">
        <v>24</v>
      </c>
      <c r="B25" s="49" t="inlineStr">
        <is>
          <t>IEEE Standard for Learning Object Metadata, IEEE Std 1484.12.1-2020, IEEE, New York, NY, USA, 2020.</t>
        </is>
      </c>
      <c r="C25" s="49" t="n">
        <v>22</v>
      </c>
      <c r="D25" s="49" t="inlineStr"/>
    </row>
    <row r="26" ht="32" customHeight="1" s="22">
      <c r="A26" s="49" t="n">
        <v>25</v>
      </c>
      <c r="B26" s="49" t="inlineStr">
        <is>
          <t>J. Biggs, "Enhancing teaching through constructive alignment," Higher Education, vol. 32, no. 3, pp. 347–364, 1996, doi: 10.1007/BF00138871.</t>
        </is>
      </c>
      <c r="C26" s="49" t="n">
        <v>23</v>
      </c>
      <c r="D26" s="49" t="inlineStr">
        <is>
          <t>НОВ ИЗТОЧНИК</t>
        </is>
      </c>
    </row>
    <row r="27" ht="32" customHeight="1" s="22">
      <c r="A27" s="49" t="n">
        <v>26</v>
      </c>
      <c r="B27" s="49" t="inlineStr">
        <is>
          <t>J. Sweller, J. J. G. van Merriënboer, and F. Paas, "Cognitive architecture and instructional design: 20 years later," Educational Psychology Review, vol. 31, no. 2, pp. 261–292, 2019, doi: 10.1007/s10648-019-09465-5.</t>
        </is>
      </c>
      <c r="C27" s="49" t="n">
        <v>24</v>
      </c>
      <c r="D27" s="49" t="inlineStr"/>
    </row>
    <row r="28" ht="32" customHeight="1" s="22">
      <c r="A28" s="49" t="n">
        <v>27</v>
      </c>
      <c r="B28" s="49" t="inlineStr">
        <is>
          <t>L. Huang et al., "A survey on hallucination in large language models: Principles, taxonomy, challenges, and open questions," ACM Transactions on Information Systems, vol. 43, no. 2, pp. 1–55, 2025, doi: 10.1145/3703155.</t>
        </is>
      </c>
      <c r="C28" s="49" t="n">
        <v>25</v>
      </c>
      <c r="D28" s="49" t="inlineStr"/>
    </row>
    <row r="29" ht="32" customHeight="1" s="22">
      <c r="A29" s="49" t="n">
        <v>28</v>
      </c>
      <c r="B29" s="49" t="inlineStr">
        <is>
          <t>L. Zheng et al., "Judging LLM-as-a-judge with MT-Bench and Chatbot Arena," in Advances in Neural Information Processing Systems 36 (NeurIPS 2023), Datasets and Benchmarks Track, 2023. [Online]. Available: https://arxiv.org/abs/2306.05685</t>
        </is>
      </c>
      <c r="C29" s="49" t="n">
        <v>26</v>
      </c>
      <c r="D29" s="49" t="inlineStr"/>
    </row>
    <row r="30" ht="32" customHeight="1" s="22">
      <c r="A30" s="49" t="n">
        <v>29</v>
      </c>
      <c r="B30" s="49" t="inlineStr">
        <is>
          <t>M. D. Merrill, "First principles of instruction," Educational Technology Research and Development, vol. 50, no. 3, pp. 43–59, 2002, doi: 10.1007/BF02505024.</t>
        </is>
      </c>
      <c r="C30" s="49" t="n">
        <v>27</v>
      </c>
      <c r="D30" s="49" t="inlineStr"/>
    </row>
    <row r="31" ht="32" customHeight="1" s="22">
      <c r="A31" s="49" t="n">
        <v>30</v>
      </c>
      <c r="B31" s="49" t="inlineStr">
        <is>
          <t>N. F. Liu et al., "Lost in the middle: How language models use long contexts," Transactions of the Association for Computational Linguistics, vol. 12, pp. 157–173, 2024, doi: 10.1162/tacl_a_00638.</t>
        </is>
      </c>
      <c r="C31" s="49" t="inlineStr"/>
      <c r="D31" s="49" t="inlineStr">
        <is>
          <t>НОВ ИЗТОЧНИК</t>
        </is>
      </c>
    </row>
    <row r="32" ht="32" customHeight="1" s="22">
      <c r="A32" s="49" t="n">
        <v>31</v>
      </c>
      <c r="B32" s="49" t="inlineStr">
        <is>
          <t>O. Zawacki-Richter, V. I. Marín, M. Bond, and F. Gouverneur, "Systematic review of research on artificial intelligence applications in higher education — where are the educators?," International Journal of Educational Technology in Higher Education, vol. 16, Art. no. 39, 2019, doi: 10.1186/s41239-019-0171-0.</t>
        </is>
      </c>
      <c r="C32" s="49" t="n">
        <v>28</v>
      </c>
      <c r="D32" s="49" t="inlineStr"/>
    </row>
    <row r="33" ht="32" customHeight="1" s="22">
      <c r="A33" s="49" t="n">
        <v>32</v>
      </c>
      <c r="B33" s="49" t="inlineStr">
        <is>
          <t>Quality Matters, QM Higher Education Rubric, 7th ed. Annapolis, MD, USA: Quality Matters, 2023. [Online]. Available: https://www.qualitymatters.org/qa-resources/rubric-standards/higher-ed-rubric</t>
        </is>
      </c>
      <c r="C33" s="49" t="n">
        <v>29</v>
      </c>
      <c r="D33" s="49" t="inlineStr"/>
    </row>
    <row r="34" ht="32" customHeight="1" s="22">
      <c r="A34" s="49" t="n">
        <v>33</v>
      </c>
      <c r="B34" s="49" t="inlineStr">
        <is>
          <t>R. E. Mayer, "Evidence-based principles for how to design effective instructional videos," Journal of Applied Research in Memory and Cognition, vol. 10, no. 2, pp. 229–240, 2021, doi: 10.1016/j.jarmac.2021.03.007.</t>
        </is>
      </c>
      <c r="C34" s="49" t="inlineStr"/>
      <c r="D34" s="49" t="inlineStr">
        <is>
          <t>НОВ ИЗТОЧНИК</t>
        </is>
      </c>
    </row>
    <row r="35" ht="32" customHeight="1" s="22">
      <c r="A35" s="49" t="n">
        <v>34</v>
      </c>
      <c r="B35" s="49" t="inlineStr">
        <is>
          <t>Regulation (EU) 2024/1689 of the European Parliament and of the Council of 13 June 2024 laying down harmonised rules on artificial intelligence (Artificial Intelligence Act), OJ L, 2024/1689, 12.7.2024. [Online]. Available: https://eur-lex.europa.eu/eli/reg/2024/1689/oj</t>
        </is>
      </c>
      <c r="C35" s="49" t="n">
        <v>31</v>
      </c>
      <c r="D35" s="49" t="inlineStr"/>
    </row>
    <row r="36" ht="32" customHeight="1" s="22">
      <c r="A36" s="49" t="n">
        <v>35</v>
      </c>
      <c r="B36" s="49" t="inlineStr">
        <is>
          <t>S. G. Ramezani and Z. S. Mostafavi, "Developing and validating a comprehensive scale for accreditation standards and quality assurance in e-learning institutions," Education and Information Technologies, vol. 30, no. 15, pp. 21139–21187, 2025, doi: 10.1007/s10639-025-13587-5.</t>
        </is>
      </c>
      <c r="C36" s="49" t="n">
        <v>32</v>
      </c>
      <c r="D36" s="49" t="inlineStr"/>
    </row>
    <row r="37" ht="32" customHeight="1" s="22">
      <c r="A37" s="49" t="n">
        <v>36</v>
      </c>
      <c r="B37" s="49" t="inlineStr">
        <is>
          <t>S. J. Warren, E. Boston Vogt, B. Tincher, and J. Yang, "Enhancing quality assurance through strategic artificial intelligence integration: A framework for higher education digital transformation," Quality Assurance in Education, vol. 34, no. 2, pp. 205–222, 2026, doi: 10.1108/QAE-09-2024-0183.</t>
        </is>
      </c>
      <c r="C37" s="49" t="n">
        <v>33</v>
      </c>
      <c r="D37" s="49" t="inlineStr"/>
    </row>
    <row r="38" ht="32" customHeight="1" s="22">
      <c r="A38" s="49" t="n">
        <v>37</v>
      </c>
      <c r="B38" s="49" t="inlineStr">
        <is>
          <t>UNESCO, Recommendation on Open Educational Resources (OER). Paris, France: UNESCO, 2019. [Online]. Available: https://unesdoc.unesco.org/ark:/48223/pf0000383205</t>
        </is>
      </c>
      <c r="C38" s="49" t="n">
        <v>34</v>
      </c>
      <c r="D38" s="49" t="inlineStr"/>
    </row>
    <row r="39" ht="32" customHeight="1" s="22">
      <c r="A39" s="49" t="n">
        <v>38</v>
      </c>
      <c r="B39" s="49" t="inlineStr">
        <is>
          <t>W. X. Zhao et al., "A survey of large language models," 2023, arXiv:2303.18223.</t>
        </is>
      </c>
      <c r="C39" s="49" t="inlineStr"/>
      <c r="D39" s="49" t="inlineStr">
        <is>
          <t>НОВ ИЗТОЧНИК</t>
        </is>
      </c>
    </row>
    <row r="40" ht="32" customHeight="1" s="22">
      <c r="A40" s="49" t="n">
        <v>39</v>
      </c>
      <c r="B40" s="49" t="inlineStr">
        <is>
          <t>Y. Gao et al., "Retrieval-augmented generation for large language models: A survey," 2023, arXiv:2312.10997.</t>
        </is>
      </c>
      <c r="C40" s="49" t="inlineStr"/>
      <c r="D40" s="49" t="inlineStr">
        <is>
          <t>НОВ ИЗТОЧНИК</t>
        </is>
      </c>
    </row>
    <row r="41" ht="32" customHeight="1" s="22">
      <c r="A41" s="49" t="n">
        <v>40</v>
      </c>
      <c r="B41" s="49" t="inlineStr">
        <is>
          <t>Z. Bahroun, C. Anane, V. Ahmed, and A. Zacca, "Transforming education: A comprehensive review of generative artificial intelligence in educational settings through bibliometric and content analysis," Sustainability, vol. 15, no. 17, Art. no. 12983, 2023, doi: 10.3390/su151712983.</t>
        </is>
      </c>
      <c r="C41" s="49" t="inlineStr"/>
      <c r="D41" s="49" t="inlineStr">
        <is>
          <t>НОВ ИЗТОЧНИК</t>
        </is>
      </c>
    </row>
    <row r="42" ht="32" customHeight="1" s="22">
      <c r="A42" s="49" t="n">
        <v>41</v>
      </c>
      <c r="B42" s="49" t="inlineStr">
        <is>
          <t>Z. Liu, S. X. Yin, D. H.-L. Goh, and N. F. Chen, "COGENT: A curriculum-oriented framework for generating grade-appropriate educational content," in Proc. 20th Workshop on Innovative Use of NLP for Building Educational Applications (BEA 2025), 2025, pp. 129–143, doi: 10.18653/v1/2025.bea-1.10.</t>
        </is>
      </c>
      <c r="C42" s="49" t="n">
        <v>36</v>
      </c>
      <c r="D42" s="49" t="inlineStr"/>
    </row>
    <row r="43" ht="32" customHeight="1" s="22">
      <c r="A43" s="49" t="n">
        <v>42</v>
      </c>
      <c r="B43" s="49" t="inlineStr">
        <is>
          <t>Z. Wang, S.-Y. Gong, S. Xu, and X.-E. Hu, "Elaborated feedback and learning: Examining cognitive and motivational influences," Computers &amp; Education, vol. 136, pp. 130–140, 2019, doi: 10.1016/j.compedu.2019.04.003.</t>
        </is>
      </c>
      <c r="C43" s="49" t="inlineStr"/>
      <c r="D43" s="49" t="inlineStr">
        <is>
          <t>НОВ ИЗТОЧНИК</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P6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9" customWidth="1" style="21" min="2" max="2"/>
    <col width="13" customWidth="1" style="21" min="3" max="3"/>
    <col width="16" customWidth="1" style="21" min="4" max="4"/>
    <col width="80" customWidth="1" style="21" min="5" max="5"/>
    <col width="22" customWidth="1" style="21" min="6" max="6"/>
    <col width="60" customWidth="1" style="21" min="7" max="7"/>
    <col width="11" customWidth="1" style="21" min="8" max="8"/>
    <col width="22" customWidth="1" style="21" min="9" max="10"/>
    <col width="40" customWidth="1" style="21" min="11" max="11"/>
    <col width="80" customWidth="1" style="21" min="12" max="12"/>
    <col width="11" customWidth="1" style="21" min="13" max="13"/>
  </cols>
  <sheetData>
    <row r="1" ht="31.5" customHeight="1" s="22">
      <c r="A1" s="27" t="inlineStr">
        <is>
          <t>№</t>
        </is>
      </c>
      <c r="B1" s="27" t="inlineStr">
        <is>
          <t>Раздел</t>
        </is>
      </c>
      <c r="C1" s="27" t="inlineStr">
        <is>
          <t>Източник(ци)</t>
        </is>
      </c>
      <c r="D1" s="47" t="inlineStr">
        <is>
          <t>Източник(ци) — нови №</t>
        </is>
      </c>
      <c r="E1" s="27" t="inlineStr">
        <is>
          <t>Локатор в текста</t>
        </is>
      </c>
      <c r="F1" s="27" t="inlineStr">
        <is>
          <t>Твърдение (както е в документа)</t>
        </is>
      </c>
      <c r="G1" s="27" t="inlineStr">
        <is>
          <t>Тип на проверката</t>
        </is>
      </c>
      <c r="H1" s="27" t="inlineStr">
        <is>
          <t>Какво точно се потвърждава</t>
        </is>
      </c>
      <c r="I1" s="27" t="inlineStr">
        <is>
          <t>Приоритет</t>
        </is>
      </c>
      <c r="J1" s="27" t="inlineStr">
        <is>
          <t>Статус</t>
        </is>
      </c>
      <c r="K1" s="27" t="inlineStr">
        <is>
          <t>Намерено на (стр./раздел)</t>
        </is>
      </c>
      <c r="L1" s="47" t="inlineStr">
        <is>
          <t>Линк към проверения текст</t>
        </is>
      </c>
      <c r="M1" s="47" t="inlineStr">
        <is>
          <t>Извадка от източника (дословно)</t>
        </is>
      </c>
      <c r="N1" s="27" t="inlineStr">
        <is>
          <t>Бележка / действие</t>
        </is>
      </c>
      <c r="O1" s="27" t="inlineStr">
        <is>
          <t>Проверил</t>
        </is>
      </c>
      <c r="P1" s="27" t="inlineStr">
        <is>
          <t>Дата</t>
        </is>
      </c>
    </row>
    <row r="2" ht="78" customHeight="1" s="22">
      <c r="A2" s="28" t="n">
        <v>1</v>
      </c>
      <c r="B2" s="28" t="inlineStr">
        <is>
          <t>1.1</t>
        </is>
      </c>
      <c r="C2" s="28" t="inlineStr">
        <is>
          <t>[30]</t>
        </is>
      </c>
      <c r="D2" s="49" t="inlineStr">
        <is>
          <t>заменен</t>
        </is>
      </c>
      <c r="E2" s="29" t="inlineStr">
        <is>
          <t>гл. 1</t>
        </is>
      </c>
      <c r="F2" s="29" t="inlineStr">
        <is>
          <t>Clark и Mayer дефинират електронното обучение като обучение, доставяно чрез цифрово устройство, чието предназначение е да подпомага ученето, като изрично подчертават, че определящият признак не е технологията носител, а съчетанието от учебно съдържание и педагогически методи за неговото представяне [30, гл. 1].</t>
        </is>
      </c>
      <c r="G2" s="29" t="inlineStr">
        <is>
          <t>Дефиниция</t>
        </is>
      </c>
      <c r="H2" s="29" t="inlineStr">
        <is>
          <t>Clark &amp; Mayer, 5-о изд., гл. 1: дали дефиницията е такава и дали изрично се подчертава, че носителят не е определящият признак.</t>
        </is>
      </c>
      <c r="I2" s="28" t="inlineStr">
        <is>
          <t>Среден</t>
        </is>
      </c>
      <c r="J2" s="30" t="inlineStr">
        <is>
          <t>Потвърдено</t>
        </is>
      </c>
      <c r="K2" s="30" t="inlineStr">
        <is>
          <t>Sangrà, Vlachopoulos и Cabrera 2012, IRRODL 13(2), 145–159 — ЗАМЕСТИТЕЛ на [30, гл. 1]</t>
        </is>
      </c>
      <c r="L2" s="48" t="inlineStr">
        <is>
          <t>https://www.irrodl.org/index.php/irrodl/article/view/1161</t>
        </is>
      </c>
      <c r="M2" s="49" t="inlineStr">
        <is>
          <t>Консенсусната дефиниция от Delphi проучването: „E-learning is an approach to teaching and learning, representing all or part of the educational model applied, that is based on the use of electronic media and devices as tools for improving access to training, communication and interaction and that facilitates the adoption of new ways of understanding and developing learning.“ Статията разграничава четири категории дефиниции: technology-driven, delivery-system-oriented, communication-oriented и educational-paradigm-oriented.</t>
        </is>
      </c>
      <c r="N2" s="30" t="inlineStr">
        <is>
          <t>ПОКРИВА СЕ ИЗЦЯЛО и по-добре от очакваното. Дефиницията определя е-обучението като ПОДХОД към преподаването и ученето, представящ приложения образователен модел, а електронните средства са „tools“. Това е точно тезата, че определящият признак е моделът, а не технологията — при това по консенсус на международен експертен панел, а не като едната страна на спора Кларк–Козма. Clark 1994 СТАВА ИЗЛИШЕН.</t>
        </is>
      </c>
      <c r="O2" s="30" t="inlineStr">
        <is>
          <t>Claude (авт.)</t>
        </is>
      </c>
      <c r="P2" s="30" t="inlineStr">
        <is>
          <t>29.08.2026</t>
        </is>
      </c>
    </row>
    <row r="3" ht="78" customHeight="1" s="22">
      <c r="A3" s="28" t="n">
        <v>2</v>
      </c>
      <c r="B3" s="28" t="inlineStr">
        <is>
          <t>1.1</t>
        </is>
      </c>
      <c r="C3" s="28" t="inlineStr">
        <is>
          <t>[12]</t>
        </is>
      </c>
      <c r="D3" s="49" t="inlineStr">
        <is>
          <t>[13]</t>
        </is>
      </c>
      <c r="E3" s="29" t="inlineStr">
        <is>
          <t>обл. 2</t>
        </is>
      </c>
      <c r="F3" s="29" t="inlineStr">
        <is>
          <t>Значимостта на работата с дигитални ресурси за съвременния преподавател е призната и на рамково равнище: в европейската рамка за дигитална компетентност на преподавателите DigCompEdu подборът, създаването, модифицирането и управлението на дигитални ресурси са обособени като самостоятелна компетентностна област [12, обл. 2].</t>
        </is>
      </c>
      <c r="G3" s="29" t="inlineStr">
        <is>
          <t>Рамков документ</t>
        </is>
      </c>
      <c r="H3" s="29" t="inlineStr">
        <is>
          <t>DigCompEdu: дали област 2 се нарича „Дигитални ресурси“ и обхваща подбор, създаване/модифициране и управление.</t>
        </is>
      </c>
      <c r="I3" s="32" t="inlineStr">
        <is>
          <t>Висок</t>
        </is>
      </c>
      <c r="J3" s="30" t="inlineStr">
        <is>
          <t>Потвърдено</t>
        </is>
      </c>
      <c r="K3" s="30" t="inlineStr">
        <is>
          <t>DigCompEdu, област 2</t>
        </is>
      </c>
      <c r="L3" s="48" t="inlineStr">
        <is>
          <t>https://publications.jrc.ec.europa.eu/repository/bitstream/JRC107466/pdf_digcomedu_a4_final.pdf</t>
        </is>
      </c>
      <c r="M3" s="49" t="inlineStr">
        <is>
          <t>Област 2 „Digital Resources“ с подкомпетентности 2.1 Selecting digital resources, 2.2 Creating and modifying digital resources, 2.3 Managing, protecting and sharing digital resources.</t>
        </is>
      </c>
      <c r="N3" s="30" t="inlineStr">
        <is>
          <t>Потвърдено точно: подборът, създаването/модифицирането и управлението са обособени в самостоятелна област.</t>
        </is>
      </c>
      <c r="O3" s="30" t="inlineStr">
        <is>
          <t>Claude (авт.)</t>
        </is>
      </c>
      <c r="P3" s="30" t="inlineStr">
        <is>
          <t>28.08.2026</t>
        </is>
      </c>
    </row>
    <row r="4" ht="78" customHeight="1" s="22">
      <c r="A4" s="28" t="n">
        <v>3</v>
      </c>
      <c r="B4" s="28" t="inlineStr">
        <is>
          <t>1.1</t>
        </is>
      </c>
      <c r="C4" s="28" t="inlineStr">
        <is>
          <t>[30]</t>
        </is>
      </c>
      <c r="D4" s="49" t="inlineStr">
        <is>
          <t>заменен</t>
        </is>
      </c>
      <c r="E4" s="29" t="inlineStr">
        <is>
          <t>гл. 4 и 9</t>
        </is>
      </c>
      <c r="F4" s="29" t="inlineStr">
        <is>
          <t>Изследванията върху мултимедийното учене показват, че комбинирането на словесна и визуална информация по правило води до по-добри учебни резултати от представянето само на текст, но единствено при спазване на установени принципи на дизайна — например съгласуваност между текст и изображение и изключване на несъщественото съдържание; в противен случай мултимедията може да затрудни, а не да подпомогне ученето [30, гл. 4 и 9].</t>
        </is>
      </c>
      <c r="G4" s="29" t="inlineStr">
        <is>
          <t>Емпирично обобщение</t>
        </is>
      </c>
      <c r="H4" s="29" t="inlineStr">
        <is>
          <t>Гл. 4 и 9 на 5-о изд.: принцип на съгласуваност и изключване на несъщественото; дали източникът твърди и обратния ефект (мултимедия, която пречи).</t>
        </is>
      </c>
      <c r="I4" s="32" t="inlineStr">
        <is>
          <t>Висок</t>
        </is>
      </c>
      <c r="J4" s="30" t="inlineStr">
        <is>
          <t>Потвърдено</t>
        </is>
      </c>
      <c r="K4" s="30" t="inlineStr">
        <is>
          <t>Mayer 2021, JARMAC 10(2), 229–240 — ЗАМЕСТИТЕЛ на [30, гл. 4 и 9]</t>
        </is>
      </c>
      <c r="L4" s="48" t="inlineStr">
        <is>
          <t>https://www.sciencedirect.com/science/article/pii/S2211368121000231</t>
        </is>
      </c>
      <c r="M4" s="49" t="inlineStr">
        <is>
          <t>„students learn better when extraneous comments and unneeded visual material are excluded (i.e., coherence principle)“; „Multimedia — Present words and graphics rather than words alone“; и за вредата: „Extraneous processing refers to cognitive processing during learning that does not serve the instructional objective of the lesson; it can be caused by poor instructional design, such as including extraneous graphics and text in the lesson.“</t>
        </is>
      </c>
      <c r="N4" s="30" t="inlineStr">
        <is>
          <t>ПОКРИВА СЕ ИЗЦЯЛО от достъпен източник, включително частта „в противен случай мултимедията може да затрудни ученето“. Готово за замяна на локатора [30, гл. 4 и 9].</t>
        </is>
      </c>
      <c r="O4" s="30" t="inlineStr">
        <is>
          <t>Claude (авт.)</t>
        </is>
      </c>
      <c r="P4" s="30" t="inlineStr">
        <is>
          <t>29.08.2026</t>
        </is>
      </c>
    </row>
    <row r="5" ht="78" customHeight="1" s="22">
      <c r="A5" s="28" t="n">
        <v>4</v>
      </c>
      <c r="B5" s="28" t="inlineStr">
        <is>
          <t>1.1</t>
        </is>
      </c>
      <c r="C5" s="28" t="inlineStr">
        <is>
          <t>[17]</t>
        </is>
      </c>
      <c r="D5" s="49" t="inlineStr">
        <is>
          <t>[18]</t>
        </is>
      </c>
      <c r="E5" s="29" t="n"/>
      <c r="F5" s="29" t="inlineStr">
        <is>
          <t>Систематичните прегледи на използването на мултимедия във висшето образование потвърждават както широкото ѝ навлизане, така и зависимостта на ефектите от качеството на дидактическия дизайн [17].</t>
        </is>
      </c>
      <c r="G5" s="29" t="inlineStr">
        <is>
          <t>Обобщение на преглед</t>
        </is>
      </c>
      <c r="H5" s="29" t="inlineStr">
        <is>
          <t>Дали прегледът наистина установява зависимост на ефектите от качеството на дидактическия дизайн, а не само разпространение.</t>
        </is>
      </c>
      <c r="I5" s="28" t="inlineStr">
        <is>
          <t>Среден</t>
        </is>
      </c>
      <c r="J5" s="30" t="inlineStr">
        <is>
          <t>Потвърдено</t>
        </is>
      </c>
      <c r="K5" s="30" t="inlineStr">
        <is>
          <t>[17] MDPI Sustainability 17(19):8859</t>
        </is>
      </c>
      <c r="L5" s="48" t="inlineStr">
        <is>
          <t>https://www.mdpi.com/2071-1050/17/19/8859</t>
        </is>
      </c>
      <c r="M5" s="49" t="inlineStr">
        <is>
          <t>„The integration of multimedia technologies into higher education is becoming increasingly widespread“; „multimedia tools enhance student engagement, motivation, and performance when integrated with clear pedagogical strategies“; „The effective implementation of multimedia tools requires a balance between technological innovation and pedagogical validity“.</t>
        </is>
      </c>
      <c r="N5" s="30" t="inlineStr">
        <is>
          <t>И двете части се потвърждават — навлизането и зависимостта от качеството на дизайна.</t>
        </is>
      </c>
      <c r="O5" s="30" t="inlineStr">
        <is>
          <t>Claude (авт.)</t>
        </is>
      </c>
      <c r="P5" s="30" t="inlineStr">
        <is>
          <t>28.08.2026</t>
        </is>
      </c>
    </row>
    <row r="6" ht="78" customHeight="1" s="22">
      <c r="A6" s="28" t="n">
        <v>5</v>
      </c>
      <c r="B6" s="28" t="inlineStr">
        <is>
          <t>1.1</t>
        </is>
      </c>
      <c r="C6" s="28" t="inlineStr">
        <is>
          <t>[34]</t>
        </is>
      </c>
      <c r="D6" s="49" t="inlineStr">
        <is>
          <t>[37]</t>
        </is>
      </c>
      <c r="E6" s="29" t="n"/>
      <c r="F6" s="29" t="inlineStr">
        <is>
          <t>Значението на този режим е признато на международно равнище с препоръката на ЮНЕСКО за отворените образователни ресурси, която обвързва отвореното лицензиране с достъпа до качествено образование и с изграждането на капацитет за създаване, адаптиране и споделяне на такива ресурси [34].</t>
        </is>
      </c>
      <c r="G6" s="29" t="inlineStr">
        <is>
          <t>Нормативен документ</t>
        </is>
      </c>
      <c r="H6" s="29" t="inlineStr">
        <is>
          <t>Дали Препоръката обвързва отвореното лицензиране с достъп до качествено образование И с изграждане на капацитет.</t>
        </is>
      </c>
      <c r="I6" s="28" t="inlineStr">
        <is>
          <t>Среден</t>
        </is>
      </c>
      <c r="J6" s="30" t="inlineStr">
        <is>
          <t>Потвърдено</t>
        </is>
      </c>
      <c r="K6" s="30" t="inlineStr">
        <is>
          <t>[34] UNESCO OER Recommendation, 2019 — свален PDF</t>
        </is>
      </c>
      <c r="L6" s="48" t="inlineStr">
        <is>
          <t>https://unesdoc.unesco.org/ark:/48223/pf0000383205</t>
        </is>
      </c>
      <c r="M6" s="49" t="inlineStr">
        <is>
          <t>„Open Educational Resources (OER) can support quality education that is equitable, inclusive, open and participatory“; „Capacity building: developing the capacity of all key education stakeholders to create, access, re-use, re-purpose, adapt, and redistribute OER, as well as to use and apply open licenses“.</t>
        </is>
      </c>
      <c r="N6" s="30" t="inlineStr">
        <is>
          <t>Потвърдено по свалния от теб PDF. И двата елемента са налице — обвързването с качественото образование и изграждането на капацитет.</t>
        </is>
      </c>
      <c r="O6" s="30" t="inlineStr">
        <is>
          <t>Claude (авт.)</t>
        </is>
      </c>
      <c r="P6" s="30" t="inlineStr">
        <is>
          <t>28.08.2026</t>
        </is>
      </c>
    </row>
    <row r="7" ht="78" customHeight="1" s="22">
      <c r="A7" s="28" t="n">
        <v>6</v>
      </c>
      <c r="B7" s="28" t="inlineStr">
        <is>
          <t>1.1</t>
        </is>
      </c>
      <c r="C7" s="28" t="inlineStr">
        <is>
          <t>[22]</t>
        </is>
      </c>
      <c r="D7" s="49" t="inlineStr">
        <is>
          <t>[24]</t>
        </is>
      </c>
      <c r="E7" s="29" t="n"/>
      <c r="F7" s="29" t="inlineStr">
        <is>
          <t>Международният стандарт за метаданни на учебни обекти определя структура от девет категории описателни характеристики, сред които образователната категория включва точно признаците, разгледани по-горе: вид на ресурса, равнище на интерактивност, целева аудитория и типично учебно време [22].</t>
        </is>
      </c>
      <c r="G7" s="29" t="inlineStr">
        <is>
          <t>Точна структура</t>
        </is>
      </c>
      <c r="H7" s="29" t="inlineStr">
        <is>
          <t>Дали IEEE Std 1484.12.1-2020 определя девет категории и дали образователната включва точно четирите изброени признака. Внимание: „девет категории“ е от версията 2002 г.</t>
        </is>
      </c>
      <c r="I7" s="37" t="inlineStr">
        <is>
          <t>Висок</t>
        </is>
      </c>
      <c r="J7" s="30" t="inlineStr">
        <is>
          <t>Потвърдено</t>
        </is>
      </c>
      <c r="K7" s="30" t="inlineStr">
        <is>
          <t>1EdTech/IMS Meta-data Best Practice Guide за IEEE 1484.12.1, v1.3</t>
        </is>
      </c>
      <c r="L7" s="48" t="inlineStr">
        <is>
          <t>https://www.imsglobal.org/metadata/mdv1p3/imsmd_bestv1p3.html</t>
        </is>
      </c>
      <c r="M7" s="49" t="inlineStr">
        <is>
          <t>Деветте категории от първо ниво: General, Life Cycle, Meta-Metadata, Technical, Educational, Rights, Relation, Annotation, Classification. Категория 5 Educational съдържа Interactivity Type, Learning Resource Type, Interactivity Level, Intended End User Role, Context, Typical Age Range, Difficulty, Typical Learning Time.</t>
        </is>
      </c>
      <c r="N7" s="30" t="inlineStr">
        <is>
          <t>ПОТВЪРДЕНО чрез свободно достъпно авторитетно описание. И четирите признака, които изброяваш, се откриват: вид на ресурса (Learning Resource Type), равнище на интерактивност (Interactivity Level), целева аудитория (Intended End User Role / Typical Age Range) и типично учебно време (Typical Learning Time). ВНИМАНИЕ: ръководството описва версията от 2002 г. Или смени записа на 1484.12.1-2002, или цитирай ръководството отделно за съдържанието.</t>
        </is>
      </c>
      <c r="O7" s="30" t="inlineStr">
        <is>
          <t>Claude (авт.)</t>
        </is>
      </c>
      <c r="P7" s="30" t="inlineStr">
        <is>
          <t>29.08.2026</t>
        </is>
      </c>
    </row>
    <row r="8" ht="78" customHeight="1" s="22">
      <c r="A8" s="28" t="n">
        <v>7</v>
      </c>
      <c r="B8" s="28" t="inlineStr">
        <is>
          <t>1.1</t>
        </is>
      </c>
      <c r="C8" s="28" t="inlineStr">
        <is>
          <t>[11]</t>
        </is>
      </c>
      <c r="D8" s="49" t="inlineStr">
        <is>
          <t>[23]</t>
        </is>
      </c>
      <c r="E8" s="29" t="n"/>
      <c r="F8" s="29" t="inlineStr">
        <is>
          <t>В областите с бавно развиващо се фундаментално знание учебният материал може да остане валиден десетилетия; в бързо развиващите се технологични области — например разработката на софтуер — препоръчаните практики, версиите на инструментите и дори терминологията се променят в рамките на месеци, при това по публично обявен график: широко използвани софтуерни рамки издават основни версии веднъж или два пъти годишно, а поддръжката на всяка версия е ограничена във времето [11].</t>
        </is>
      </c>
      <c r="G8" s="29" t="inlineStr">
        <is>
          <t>Обобщение по един случай</t>
        </is>
      </c>
      <c r="H8" s="29" t="inlineStr">
        <is>
          <t>Дали източникът поддържа общото твърдение за „широко използвани софтуерни рамки“ — той описва само Angular. Обмисли отпадане или замяна с общ източник.</t>
        </is>
      </c>
      <c r="I8" s="33" t="inlineStr">
        <is>
          <t>Критичен</t>
        </is>
      </c>
      <c r="J8" s="30" t="inlineStr">
        <is>
          <t>Потвърдено</t>
        </is>
      </c>
      <c r="K8" s="30" t="inlineStr">
        <is>
          <t>Zhang, Wang, Chen, Zou и Hassan, IEEE TSE 47(4), 850–862 — ЗАМЕСТИТЕЛ на [11] Angular</t>
        </is>
      </c>
      <c r="L8" s="48" t="inlineStr">
        <is>
          <t>https://arxiv.org/abs/1903.12282</t>
        </is>
      </c>
      <c r="M8" s="49" t="inlineStr">
        <is>
          <t>„More than half of the obsolete answers (58.4%) were probably already obsolete when they were first posted“; едва 20,5 % от остарелите отговори някога биват обновявани. Тагове като node.js, ajax, android и objective-c са по-податливи на остаряване.</t>
        </is>
      </c>
      <c r="N8" s="30" t="inlineStr">
        <is>
          <t>ГОТОВО ЗА НАНАСЯНЕ (Word държи документа отворен). Angular отпада. Новата формулировка твърди същото — че техническото съдържание остарява бързо — но с емпирично изследване върху 15 години данни вместо с документация на един продукт. Двете числа са дословни.</t>
        </is>
      </c>
      <c r="O8" s="30" t="inlineStr">
        <is>
          <t>Claude (авт.)</t>
        </is>
      </c>
      <c r="P8" s="30" t="inlineStr">
        <is>
          <t>29.08.2026</t>
        </is>
      </c>
    </row>
    <row r="9" ht="78" customHeight="1" s="22">
      <c r="A9" s="28" t="n">
        <v>8</v>
      </c>
      <c r="B9" s="28" t="inlineStr">
        <is>
          <t>1.1</t>
        </is>
      </c>
      <c r="C9" s="28" t="inlineStr">
        <is>
          <t>[35]</t>
        </is>
      </c>
      <c r="D9" s="49" t="inlineStr">
        <is>
          <t>заменен</t>
        </is>
      </c>
      <c r="E9" s="29" t="n"/>
      <c r="F9" s="29" t="inlineStr">
        <is>
          <t>Четвъртата ос, придобила значение едва през последните години, е произходът на съдържанието: създадено изцяло от преподавател или автор, адаптирано от съществуващи ресурси, или генерирано с помощта на инструменти с изкуствен интелект [35].</t>
        </is>
      </c>
      <c r="G9" s="29" t="inlineStr">
        <is>
          <t>Приписване</t>
        </is>
      </c>
      <c r="H9" s="29" t="inlineStr">
        <is>
          <t>Дали [35] наистина обособява „произход на съдържанието“ като ос на класификация, или това е авторски синтез.</t>
        </is>
      </c>
      <c r="I9" s="32" t="inlineStr">
        <is>
          <t>Висок</t>
        </is>
      </c>
      <c r="J9" s="30" t="inlineStr">
        <is>
          <t>Потвърдено</t>
        </is>
      </c>
      <c r="K9" s="30" t="inlineStr">
        <is>
          <t>1EdTech AI-Generated Content Best Practices v1.0 (2025) — ЗАМЕСТИТЕЛ на [35]</t>
        </is>
      </c>
      <c r="L9" s="48" t="inlineStr">
        <is>
          <t>https://www.imsglobal.org/resource/AI-Generated_Content_Best_Practices/v1p0</t>
        </is>
      </c>
      <c r="M9" s="49" t="inlineStr">
        <is>
          <t>Документът степенува съдържанието по произход в пет равнища: „Human-Created, GenAI-Assisted“, „Human-Led, GenAI-Enhanced“, „GenAI-Co-Created, Human-Guided“, „GenAI-Dominant, Human-Supervised“ и „Fully AI-Generated — GenAI autonomously generates and publishes content with minimal or no human oversight“.</t>
        </is>
      </c>
      <c r="N9" s="30" t="inlineStr">
        <is>
          <t>РЕШЕНО. Класификацията по произход НЕ е авторска — тя съществува в документ на стандартизационен консорциум, при това по-подробна от твоята. НАНЕСЕНО В НИП 29.08: четвъртата ос вече препраща към петте равнища на 1EdTech. Заместителят е с временен маркер [X1EDTECH] до преномерирането.</t>
        </is>
      </c>
      <c r="O9" s="30" t="inlineStr">
        <is>
          <t>Claude (авт.)</t>
        </is>
      </c>
      <c r="P9" s="30" t="inlineStr">
        <is>
          <t>29.08.2026</t>
        </is>
      </c>
    </row>
    <row r="10" ht="78" customHeight="1" s="22">
      <c r="A10" s="28" t="n">
        <v>9</v>
      </c>
      <c r="B10" s="28" t="inlineStr">
        <is>
          <t>1.2</t>
        </is>
      </c>
      <c r="C10" s="28" t="inlineStr">
        <is>
          <t>[27]</t>
        </is>
      </c>
      <c r="D10" s="49" t="inlineStr">
        <is>
          <t>[29]</t>
        </is>
      </c>
      <c r="E10" s="29" t="inlineStr">
        <is>
          <t>с. 44–45</t>
        </is>
      </c>
      <c r="F10" s="29" t="inlineStr">
        <is>
          <t>Като обобщение на общоприетите дидактически постановки Merrill извежда пет първи принципа на обучението: ученето се улеснява, когато обучаемият е въвлечен в решаването на реални задачи; когато наличното му знание се активира като основа за новото; когато новото знание му се демонстрира; когато той го прилага самостоятелно; и когато го интегрира в собствената си практика [27, с. 44–45].</t>
        </is>
      </c>
      <c r="G10" s="29" t="inlineStr">
        <is>
          <t>Точен локатор</t>
        </is>
      </c>
      <c r="H10" s="29" t="inlineStr">
        <is>
          <t>Merrill 2002, с. 44–45: дали петте принципа са формулирани там и в този ред/смисъл.</t>
        </is>
      </c>
      <c r="I10" s="32" t="inlineStr">
        <is>
          <t>Висок</t>
        </is>
      </c>
      <c r="J10" s="30" t="inlineStr">
        <is>
          <t>Потвърдено</t>
        </is>
      </c>
      <c r="K10" s="30" t="inlineStr">
        <is>
          <t>[27] Merrill 2002, ETR&amp;D 50(3)</t>
        </is>
      </c>
      <c r="L10" s="48" t="inlineStr">
        <is>
          <t>https://link.springer.com/article/10.1007/BF02505024</t>
        </is>
      </c>
      <c r="M10" s="49" t="inlineStr">
        <is>
          <t>„Learning is promoted when learners are engaged in solving real-world problems“; „…when existing knowledge is activated as a foundation for new knowledge“; „…when new knowledge is demonstrated to the learner“; „…when new knowledge is applied by the learner“; „…when new knowledge is integrated into the learner's world“.</t>
        </is>
      </c>
      <c r="N10" s="30" t="inlineStr">
        <is>
          <t>Петте принципа се потвърждават дословно и в същия ред. Локаторът „с. 44–45“ да се сверя по PDF-а — статията е с. 43–59, а принципите се появяват и в резюмето.</t>
        </is>
      </c>
      <c r="O10" s="30" t="inlineStr">
        <is>
          <t>Claude (авт.)</t>
        </is>
      </c>
      <c r="P10" s="30" t="inlineStr">
        <is>
          <t>28.08.2026</t>
        </is>
      </c>
    </row>
    <row r="11" ht="78" customHeight="1" s="22">
      <c r="A11" s="28" t="n">
        <v>10</v>
      </c>
      <c r="B11" s="28" t="inlineStr">
        <is>
          <t>1.2</t>
        </is>
      </c>
      <c r="C11" s="28" t="inlineStr">
        <is>
          <t>[23]</t>
        </is>
      </c>
      <c r="D11" s="49" t="inlineStr">
        <is>
          <t>[25]</t>
        </is>
      </c>
      <c r="E11" s="29" t="n"/>
      <c r="F11" s="29" t="inlineStr">
        <is>
          <t>Изискването за съответствие с целите има и утвърдена конструктивна рамка: принципът на конструктивното съгласуване, при който учебните цели, учебните дейности и средствата за оценяване се проектират като едно свързано цяло — тръгва се от намерените учебни резултати и от тях се извеждат както дейностите, така и проверката [23].</t>
        </is>
      </c>
      <c r="G11" s="29" t="inlineStr">
        <is>
          <t>Концепция</t>
        </is>
      </c>
      <c r="H11" s="29" t="inlineStr">
        <is>
          <t>Biggs &amp; Tang: конструктивно съгласуване — дали формулировката „тръгва се от намерените учебни резултати“ съответства.</t>
        </is>
      </c>
      <c r="I11" s="28" t="inlineStr">
        <is>
          <t>Среден</t>
        </is>
      </c>
      <c r="J11" s="30" t="inlineStr">
        <is>
          <t>Потвърдено</t>
        </is>
      </c>
      <c r="K11" s="30" t="inlineStr">
        <is>
          <t>Biggs 1996, Higher Education 32, 347–364 — ЗАМЕСТИТЕЛ на [23]</t>
        </is>
      </c>
      <c r="L11" s="48" t="inlineStr">
        <is>
          <t>https://link.springer.com/article/10.1007/BF00138871</t>
        </is>
      </c>
      <c r="M11" s="49" t="inlineStr">
        <is>
          <t>„Constructive alignment represents a marriage of the two thrusts, constructivism being used as a framework to guide decision-making at all stages in instructional design: in deriving curriculum objectives in terms of performances that represent a suitably high cognitive level, in deciding teaching/learning activities judged to elicit those performances, and to assess and summatively report student performance. The performances of understanding nominated in the objectives are thus used to systematically align the teaching methods and the assessment.“</t>
        </is>
      </c>
      <c r="N11" s="30" t="inlineStr">
        <is>
          <t>ПРАВИЛНИЯТ ФАЙЛ Е СВАЛЕН и потвърждава реда дословно, включително че се тръгва от учебните резултати и от тях се извеждат дейностите и оценяването. Учебникът [23] отпада, заменя се със статията от 1996 г.</t>
        </is>
      </c>
      <c r="O11" s="30" t="inlineStr">
        <is>
          <t>Claude (авт.)</t>
        </is>
      </c>
      <c r="P11" s="30" t="inlineStr">
        <is>
          <t>29.08.2026</t>
        </is>
      </c>
    </row>
    <row r="12" ht="78" customHeight="1" s="22">
      <c r="A12" s="28" t="n">
        <v>11</v>
      </c>
      <c r="B12" s="28" t="inlineStr">
        <is>
          <t>1.2</t>
        </is>
      </c>
      <c r="C12" s="28" t="inlineStr">
        <is>
          <t>[24]</t>
        </is>
      </c>
      <c r="D12" s="49" t="inlineStr">
        <is>
          <t>[26]</t>
        </is>
      </c>
      <c r="E12" s="29" t="n"/>
      <c r="F12" s="29" t="inlineStr">
        <is>
          <t>Тя разграничава вътрешно натоварване, произтичащо от сложността на самия учебен материал, външно натоварване, породено от начина на представяне, и полезно натоварване, свързано с изграждането на трайни знания; централното ѝ предписание е външното натоварване да се минимизира, за да остане капацитетът на работната памет за същинското учене [24].</t>
        </is>
      </c>
      <c r="G12" s="29" t="inlineStr">
        <is>
          <t>Терминология</t>
        </is>
      </c>
      <c r="H12" s="29" t="inlineStr">
        <is>
          <t>Sweller et al. 2019: трите вида натоварване и предписанието. Внимание — в тази статия понятието „полезно натоварване“ е ревизирано; формулировката трябва да е съгласувана с нея.</t>
        </is>
      </c>
      <c r="I12" s="32" t="inlineStr">
        <is>
          <t>Висок</t>
        </is>
      </c>
      <c r="J12" s="30" t="inlineStr">
        <is>
          <t>Частично потвърдено</t>
        </is>
      </c>
      <c r="K12" s="30" t="inlineStr">
        <is>
          <t>[24] Sweller и кол. 2019, EPR 31(2)</t>
        </is>
      </c>
      <c r="L12" s="48" t="inlineStr">
        <is>
          <t>https://link.springer.com/article/10.1007/s10648-019-09465-5</t>
        </is>
      </c>
      <c r="M12" s="49" t="inlineStr">
        <is>
          <t>„Germane cognitive load was defined as the cognitive load required to learn, which refers to the working memory resources that are devoted to dealing with intrinsic cognitive load rather than extraneous cognitive load.“ И изрично: „This characterisation of germane cognitive load is a departure from the 1998 paper… Currently, we assume that rather than contributing to the total load, germane cognitive load redistributes working memory resources.“ Предписанието: „cognitive processing irrelevant to learning is minimised and cognitive processing germane to learning is optimised.“</t>
        </is>
      </c>
      <c r="N12" s="30" t="inlineStr">
        <is>
          <t>ВАЖНО: описанието на полезното натоварване като „свързано с изграждането на трайни знания“ беше по СТАРАТА формулировка от 1998 г. Статията от 2019 г. изрично я ревизира. НАНЕСЕНО В НИП 28.08: полезното натоварване вече е описано като преразпределяне на ресурсите на работната памет, а предписанието е дадено с двете му части.</t>
        </is>
      </c>
      <c r="O12" s="30" t="inlineStr">
        <is>
          <t>Claude (авт.)</t>
        </is>
      </c>
      <c r="P12" s="30" t="inlineStr">
        <is>
          <t>28.08.2026</t>
        </is>
      </c>
    </row>
    <row r="13" ht="78" customHeight="1" s="22">
      <c r="A13" s="28" t="n">
        <v>12</v>
      </c>
      <c r="B13" s="28" t="inlineStr">
        <is>
          <t>1.2</t>
        </is>
      </c>
      <c r="C13" s="28" t="inlineStr">
        <is>
          <t>[30]</t>
        </is>
      </c>
      <c r="D13" s="49" t="inlineStr">
        <is>
          <t>заменен</t>
        </is>
      </c>
      <c r="E13" s="29" t="inlineStr">
        <is>
          <t>гл. 13</t>
        </is>
      </c>
      <c r="F13" s="29" t="inlineStr">
        <is>
          <t>Изследванията върху мултимедийното учене потвърждават ползата от сегментирането на съдържанието и от предварителната подготовка с основните понятия [30, гл. 13].</t>
        </is>
      </c>
      <c r="G13" s="29" t="inlineStr">
        <is>
          <t>Емпирично обобщение</t>
        </is>
      </c>
      <c r="H13" s="29" t="inlineStr">
        <is>
          <t>Гл. 13: сегментиране и предварителна подготовка с основни понятия (pre-training principle).</t>
        </is>
      </c>
      <c r="I13" s="28" t="inlineStr">
        <is>
          <t>Среден</t>
        </is>
      </c>
      <c r="J13" s="30" t="inlineStr">
        <is>
          <t>Потвърдено</t>
        </is>
      </c>
      <c r="K13" s="30" t="inlineStr">
        <is>
          <t>Mayer 2021, JARMAC — ЗАМЕСТИТЕЛ на [30, гл. 13]</t>
        </is>
      </c>
      <c r="L13" s="48" t="inlineStr">
        <is>
          <t>https://www.sciencedirect.com/science/article/pii/S2211368121000231</t>
        </is>
      </c>
      <c r="M13" s="49" t="inlineStr">
        <is>
          <t>„when a complex slide is broken down into a progression of added parts (i.e., segmenting principle)“; „pre-training (provide pre-training in the names and characteristics of key concepts)“.</t>
        </is>
      </c>
      <c r="N13" s="30" t="inlineStr">
        <is>
          <t>ПОКРИВА СЕ ИЗЦЯЛО. Готово за замяна.</t>
        </is>
      </c>
      <c r="O13" s="30" t="inlineStr">
        <is>
          <t>Claude (авт.)</t>
        </is>
      </c>
      <c r="P13" s="30" t="inlineStr">
        <is>
          <t>29.08.2026</t>
        </is>
      </c>
    </row>
    <row r="14" ht="78" customHeight="1" s="22">
      <c r="A14" s="28" t="n">
        <v>13</v>
      </c>
      <c r="B14" s="28" t="inlineStr">
        <is>
          <t>1.2</t>
        </is>
      </c>
      <c r="C14" s="28" t="inlineStr">
        <is>
          <t>[12]</t>
        </is>
      </c>
      <c r="D14" s="49" t="inlineStr">
        <is>
          <t>[13]</t>
        </is>
      </c>
      <c r="E14" s="29" t="inlineStr">
        <is>
          <t>обл. 2</t>
        </is>
      </c>
      <c r="F14" s="29" t="inlineStr">
        <is>
          <t>В европейската рамка DigCompEdu изборът и създаването на дигитални ресурси изрично се обвързват с отчитането на конкретната учебна цел, контекста и характеристиките на обучаемите [12, обл. 2].</t>
        </is>
      </c>
      <c r="G14" s="29" t="inlineStr">
        <is>
          <t>Рамков документ</t>
        </is>
      </c>
      <c r="H14" s="29" t="inlineStr">
        <is>
          <t>DigCompEdu, област 2: обвързване на избора на ресурси с учебната цел, контекста и характеристиките на обучаемите.</t>
        </is>
      </c>
      <c r="I14" s="28" t="inlineStr">
        <is>
          <t>Среден</t>
        </is>
      </c>
      <c r="J14" s="30" t="inlineStr">
        <is>
          <t>Потвърдено</t>
        </is>
      </c>
      <c r="K14" s="30" t="inlineStr">
        <is>
          <t>DigCompEdu, 2.1 и 2.2</t>
        </is>
      </c>
      <c r="L14" s="48" t="inlineStr">
        <is>
          <t>https://publications.jrc.ec.europa.eu/repository/bitstream/JRC107466/pdf_digcomedu_a4_final.pdf</t>
        </is>
      </c>
      <c r="M14" s="49" t="inlineStr">
        <is>
          <t>„To consider the specific learning objective, context, pedagogical approach, and learner group, when selecting digital resources and planning their use.“ Същото условие се повтаря и при създаването на ресурси.</t>
        </is>
      </c>
      <c r="N14" s="30" t="inlineStr">
        <is>
          <t>Потвърдено дословно, включително трите елемента — учебна цел, контекст и характеристики на обучаемите.</t>
        </is>
      </c>
      <c r="O14" s="30" t="inlineStr">
        <is>
          <t>Claude (авт.)</t>
        </is>
      </c>
      <c r="P14" s="30" t="inlineStr">
        <is>
          <t>28.08.2026</t>
        </is>
      </c>
    </row>
    <row r="15" ht="78" customHeight="1" s="22">
      <c r="A15" s="28" t="n">
        <v>14</v>
      </c>
      <c r="B15" s="28" t="inlineStr">
        <is>
          <t>1.2</t>
        </is>
      </c>
      <c r="C15" s="28" t="inlineStr">
        <is>
          <t>[30]</t>
        </is>
      </c>
      <c r="D15" s="49" t="inlineStr">
        <is>
          <t>заменен</t>
        </is>
      </c>
      <c r="E15" s="29" t="inlineStr">
        <is>
          <t>гл. 12</t>
        </is>
      </c>
      <c r="F15" s="29" t="inlineStr">
        <is>
          <t>Изискванията към упражненията и проверката са няколко: взаимодействията да са достатъчно на брой за постигане на целта; задачите да отразяват реалните дейности, за които обучаемият се подготвя; и обратната връзка да бъде съдържателна — да обяснява защо отговорът е верен или грешен, а не само да констатира резултата [30, гл. 12].</t>
        </is>
      </c>
      <c r="G15" s="29" t="inlineStr">
        <is>
          <t>Списък изисквания</t>
        </is>
      </c>
      <c r="H15" s="29" t="inlineStr">
        <is>
          <t>Гл. 12: трите изисквания — брой взаимодействия, автентичност на задачите, обяснителна обратна връзка.</t>
        </is>
      </c>
      <c r="I15" s="28" t="inlineStr">
        <is>
          <t>Среден</t>
        </is>
      </c>
      <c r="J15" s="30" t="inlineStr">
        <is>
          <t>Не се потвърждава</t>
        </is>
      </c>
      <c r="K15" s="30" t="inlineStr">
        <is>
          <t>Wang и кол. 2019, Computers &amp; Education 136, 130–140</t>
        </is>
      </c>
      <c r="L15" s="48" t="inlineStr">
        <is>
          <t>https://www.sciencedirect.com/science/article/abs/pii/S036013151930082X</t>
        </is>
      </c>
      <c r="M15" s="49" t="inlineStr">
        <is>
          <t>„elaborated feedback is not necessarily more effective than simple feedback“; „computer-based feedback did not always promote learning and might even hinder learning“. Резултат: „Detailed explanation promoted learners' feedback perception and transfer performance IN THE CONSTRUCTED-RESPONSE ITEM CONDITION“ — тоест ефектът зависи от формата на задачата.</t>
        </is>
      </c>
      <c r="N15" s="30" t="inlineStr">
        <is>
          <t>ВАЖНО: този източник не подкрепя безусловното изискване „обратната връзка да обяснява защо“. Той показва, че ефектът е УСЛОВЕН. Ако се използва, изречението трябва да стане условно. Частта „задачите да отразяват реалните дейности“ вече е покрита от [27] Merrill, принцип 1. Частта „взаимодействията да са достатъчно на брой“ остава без източник.</t>
        </is>
      </c>
      <c r="O15" s="30" t="inlineStr">
        <is>
          <t>Claude (авт.)</t>
        </is>
      </c>
      <c r="P15" s="30" t="inlineStr">
        <is>
          <t>29.08.2026</t>
        </is>
      </c>
    </row>
    <row r="16" ht="78" customHeight="1" s="22">
      <c r="A16" s="28" t="n">
        <v>15</v>
      </c>
      <c r="B16" s="28" t="inlineStr">
        <is>
          <t>1.2</t>
        </is>
      </c>
      <c r="C16" s="28" t="inlineStr">
        <is>
          <t>[21]</t>
        </is>
      </c>
      <c r="D16" s="49" t="inlineStr">
        <is>
          <t>заменен</t>
        </is>
      </c>
      <c r="E16" s="29" t="n"/>
      <c r="F16" s="29" t="inlineStr">
        <is>
          <t>Сравнителният анализ на ръководни документи за качество на онлайн учебни материали от различни образователни контексти показва, че описаните дотук педагогически и визуални изисквания се систематизират в проверими насоки за дизайн и оценяване [21] — което подготвя прехода от изисквания към критерии, предмет на следващия етап от изследването.</t>
        </is>
      </c>
      <c r="G16" s="29" t="inlineStr">
        <is>
          <t>Обобщение на преглед</t>
        </is>
      </c>
      <c r="H16" s="29" t="inlineStr">
        <is>
          <t>Дали сравнителният анализ извежда проверими насоки за дизайн и оценяване.</t>
        </is>
      </c>
      <c r="I16" s="28" t="inlineStr">
        <is>
          <t>Среден</t>
        </is>
      </c>
      <c r="J16" s="30" t="inlineStr">
        <is>
          <t>Няма достъп — за ръчна проверка</t>
        </is>
      </c>
      <c r="K16" s="30" t="inlineStr">
        <is>
          <t>[21] du Preez и Jacobs, ILE 34(3)</t>
        </is>
      </c>
      <c r="L16" s="48" t="inlineStr">
        <is>
          <t>https://www.tandfonline.com/doi/full/10.1080/10494820.2025.2523390</t>
        </is>
      </c>
      <c r="M16" s="49" t="n"/>
      <c r="N16" s="30" t="inlineStr">
        <is>
          <t>Taylor &amp; Francis връща 403 при автоматично четене. Нужен е достъп през университета.</t>
        </is>
      </c>
      <c r="O16" s="30" t="inlineStr">
        <is>
          <t>Claude (авт.)</t>
        </is>
      </c>
      <c r="P16" s="30" t="inlineStr">
        <is>
          <t>28.08.2026</t>
        </is>
      </c>
    </row>
    <row r="17" ht="78" customHeight="1" s="22">
      <c r="A17" s="28" t="n">
        <v>16</v>
      </c>
      <c r="B17" s="28" t="inlineStr">
        <is>
          <t>1.3</t>
        </is>
      </c>
      <c r="C17" s="28" t="inlineStr">
        <is>
          <t>[35]</t>
        </is>
      </c>
      <c r="D17" s="49" t="inlineStr">
        <is>
          <t>заменен</t>
        </is>
      </c>
      <c r="E17" s="29" t="n"/>
      <c r="F17" s="29" t="inlineStr">
        <is>
          <t>В литературата създаваното от тях съдържание се обозначава с обобщаващото понятие AI-генерирано съдържание (AI-generated content, AIGC), а изследванията върху приложението му в образованието нарастват рязко след масовото навлизане на диалоговите системи от типа на ChatGPT в края на 2022 г. [35].</t>
        </is>
      </c>
      <c r="G17" s="29" t="inlineStr">
        <is>
          <t>Терминология + тенденция</t>
        </is>
      </c>
      <c r="H17" s="29" t="inlineStr">
        <is>
          <t>Дали [35] използва понятието AIGC и дали документира рязък ръст след края на 2022 г.</t>
        </is>
      </c>
      <c r="I17" s="28" t="inlineStr">
        <is>
          <t>Среден</t>
        </is>
      </c>
      <c r="J17" s="30" t="inlineStr">
        <is>
          <t>Потвърдено</t>
        </is>
      </c>
      <c r="K17" s="30" t="inlineStr">
        <is>
          <t>Bahroun, Anane, Ahmed и Zacca 2023, Sustainability 15(17), 12983</t>
        </is>
      </c>
      <c r="L17" s="48" t="inlineStr">
        <is>
          <t>https://www.mdpi.com/2071-1050/15/17/12983</t>
        </is>
      </c>
      <c r="M17"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17" s="30" t="inlineStr">
        <is>
          <t>ЗАМЕНЕН ИЗТОЧНИК. [35] отпада. Ръстът е потвърден дословно и е обвързан с ноември 2022 г. „AIGC“ отпада от текста, защото новият източник работи с понятието генеративен изкуствен интелект (GAI) — цитиране за термин, който източникът не използва, е същата грешка като на ред 17.</t>
        </is>
      </c>
      <c r="O17" s="30" t="inlineStr">
        <is>
          <t>Claude (авт.)</t>
        </is>
      </c>
      <c r="P17" s="30" t="inlineStr">
        <is>
          <t>29.08.2026</t>
        </is>
      </c>
    </row>
    <row r="18" ht="78" customHeight="1" s="22">
      <c r="A18" s="28" t="n">
        <v>17</v>
      </c>
      <c r="B18" s="28" t="inlineStr">
        <is>
          <t>1.3</t>
        </is>
      </c>
      <c r="C18" s="28" t="inlineStr">
        <is>
          <t>[16]</t>
        </is>
      </c>
      <c r="D18" s="49" t="inlineStr">
        <is>
          <t>[17]</t>
        </is>
      </c>
      <c r="E18" s="29" t="n"/>
      <c r="F18" s="29" t="inlineStr">
        <is>
          <t>След допълнителна настройка, включително чрез обратна връзка от хора, тези модели придобиват способността да водят диалог, да следват инструкции и да произвеждат свързан, стилистично издържан текст по практически всякаква тема [16].</t>
        </is>
      </c>
      <c r="G18" s="29" t="inlineStr">
        <is>
          <t>Техническо описание</t>
        </is>
      </c>
      <c r="H18" s="29" t="inlineStr">
        <is>
          <t>Дали Kasneci et al. описват дообучението с човешка обратна връзка като източник на диалогова способност и следване на инструкции.</t>
        </is>
      </c>
      <c r="I18" s="28" t="inlineStr">
        <is>
          <t>Среден</t>
        </is>
      </c>
      <c r="J18" s="30" t="inlineStr">
        <is>
          <t>Частично потвърдено</t>
        </is>
      </c>
      <c r="K18" s="30" t="inlineStr">
        <is>
          <t>[16] ИЗДАДЕНА версия, Learning and Individual Differences 103, 102274</t>
        </is>
      </c>
      <c r="L18" s="48" t="inlineStr">
        <is>
          <t>https://www.sciencedirect.com/science/article/pii/S1041608023000195</t>
        </is>
      </c>
      <c r="M18" s="49" t="inlineStr">
        <is>
          <t>„transformer architecture, introduced in Vaswani et al. (2017), uses the self-attention mechanism“; „the use of pre-training, where a language model is first trained on a large dataset before being fine-tuned“. В целия текст НЯМА reinforcement learning from human feedback, instruction tuning или предсказване на следващ токен.</t>
        </is>
      </c>
      <c r="N18" s="30" t="inlineStr">
        <is>
          <t>Издадената версия потвърждава находката от препринта. Пренаписването от 28.08 е правилно и остава.</t>
        </is>
      </c>
      <c r="O18" s="30" t="inlineStr">
        <is>
          <t>Claude (авт.)</t>
        </is>
      </c>
      <c r="P18" s="30" t="inlineStr">
        <is>
          <t>29.08.2026</t>
        </is>
      </c>
    </row>
    <row r="19" ht="78" customHeight="1" s="22">
      <c r="A19" s="28" t="n">
        <v>18</v>
      </c>
      <c r="B19" s="28" t="inlineStr">
        <is>
          <t>1.3</t>
        </is>
      </c>
      <c r="C19" s="28" t="inlineStr">
        <is>
          <t>[16]</t>
        </is>
      </c>
      <c r="D19" s="49" t="inlineStr">
        <is>
          <t>[17]</t>
        </is>
      </c>
      <c r="E19" s="29" t="n"/>
      <c r="F19" s="29" t="inlineStr">
        <is>
          <t>За преподавателите те могат да подпомагат подготовката на учебни текстове, резюмета, примери, тестови въпроси и материали с различна степен на сложност, съобразени с конкретна аудитория; за обучаемите — да предоставят обяснения, отговори на въпроси и персонализирана подкрепа при самоподготовка [16].</t>
        </is>
      </c>
      <c r="G19" s="29" t="inlineStr">
        <is>
          <t>Списък приложения</t>
        </is>
      </c>
      <c r="H19" s="29" t="inlineStr">
        <is>
          <t>Дали изброените приложения за преподаватели и обучаеми са в източника.</t>
        </is>
      </c>
      <c r="I19" s="28" t="inlineStr">
        <is>
          <t>Среден</t>
        </is>
      </c>
      <c r="J19" s="30" t="inlineStr">
        <is>
          <t>Потвърдено</t>
        </is>
      </c>
      <c r="K19" s="30" t="inlineStr">
        <is>
          <t>[16] — пълен текст</t>
        </is>
      </c>
      <c r="L19" s="48" t="inlineStr">
        <is>
          <t>https://opus.bibliothek.uni-augsburg.de/opus4/files/109030/109030.pdf</t>
        </is>
      </c>
      <c r="M19" s="49" t="inlineStr">
        <is>
          <t>„Teachers can use large language models to create personalized learning experiences for their students… suggest materials that align with the student's specific learning needs.“ / „Large language models can be used to generate summaries and outlines of texts.“</t>
        </is>
      </c>
      <c r="N19" s="30" t="inlineStr">
        <is>
          <t>Приложенията за преподаватели и обучаеми се потвърждават дословно (виж извадката).</t>
        </is>
      </c>
      <c r="O19" s="30" t="inlineStr">
        <is>
          <t>Claude (авт.)</t>
        </is>
      </c>
      <c r="P19" s="30" t="inlineStr">
        <is>
          <t>28.08.2026</t>
        </is>
      </c>
    </row>
    <row r="20" ht="78" customHeight="1" s="22">
      <c r="A20" s="28" t="n">
        <v>19</v>
      </c>
      <c r="B20" s="28" t="inlineStr">
        <is>
          <t>1.3</t>
        </is>
      </c>
      <c r="C20" s="28" t="inlineStr">
        <is>
          <t>[35]</t>
        </is>
      </c>
      <c r="D20" s="49" t="inlineStr">
        <is>
          <t>заменен</t>
        </is>
      </c>
      <c r="E20" s="29" t="n"/>
      <c r="F20" s="29" t="inlineStr">
        <is>
          <t>Систематичните прегледи регистрират приложения по цялата верига на учебния процес — от планирането на курсове през създаването на съдържание до оценяването и обратната връзка [35].</t>
        </is>
      </c>
      <c r="G20" s="29" t="inlineStr">
        <is>
          <t>Обобщение на преглед</t>
        </is>
      </c>
      <c r="H20" s="29" t="inlineStr">
        <is>
          <t>Дали прегледът регистрира приложения по цялата верига — от планиране до оценяване.</t>
        </is>
      </c>
      <c r="I20" s="28" t="inlineStr">
        <is>
          <t>Среден</t>
        </is>
      </c>
      <c r="J20" s="30" t="inlineStr">
        <is>
          <t>Потвърдено</t>
        </is>
      </c>
      <c r="K20" s="30" t="inlineStr">
        <is>
          <t>Bahroun, Anane, Ahmed и Zacca 2023, Sustainability 15(17), 12983</t>
        </is>
      </c>
      <c r="L20" s="48" t="inlineStr">
        <is>
          <t>https://www.mdpi.com/2071-1050/15/17/12983</t>
        </is>
      </c>
      <c r="M20"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0" s="30" t="inlineStr">
        <is>
          <t>ЗАМЕНЕН ИЗТОЧНИК. Формулировката е приведена към това, което прегледът наистина обхваща: оценяване, персонализирана подкрепа и интелигентни системи за обучение.</t>
        </is>
      </c>
      <c r="O20" s="30" t="inlineStr">
        <is>
          <t>Claude (авт.)</t>
        </is>
      </c>
      <c r="P20" s="30" t="inlineStr">
        <is>
          <t>29.08.2026</t>
        </is>
      </c>
    </row>
    <row r="21" ht="78" customHeight="1" s="22">
      <c r="A21" s="28" t="n">
        <v>20</v>
      </c>
      <c r="B21" s="28" t="inlineStr">
        <is>
          <t>1.3</t>
        </is>
      </c>
      <c r="C21" s="28" t="inlineStr">
        <is>
          <t>[25]</t>
        </is>
      </c>
      <c r="D21" s="49" t="inlineStr">
        <is>
          <t>[27]</t>
        </is>
      </c>
      <c r="E21" s="29" t="n"/>
      <c r="F21" s="29" t="inlineStr">
        <is>
          <t>Систематизациите на халюцинациите достигат до същия извод — надеждното им отстраняване на равнище модел остава открит проблем [25].</t>
        </is>
      </c>
      <c r="G21" s="29" t="inlineStr">
        <is>
          <t>Извод</t>
        </is>
      </c>
      <c r="H21" s="29" t="inlineStr">
        <is>
          <t>Дали [25] заключава, че надеждното отстраняване на равнище модел остава открит проблем. Дублира ред 22 — обедини или разграничи.</t>
        </is>
      </c>
      <c r="I21" s="28" t="inlineStr">
        <is>
          <t>Среден</t>
        </is>
      </c>
      <c r="J21" s="30" t="inlineStr">
        <is>
          <t>Потвърдено</t>
        </is>
      </c>
      <c r="K21" s="30" t="inlineStr">
        <is>
          <t>[25] Huang и кол., arXiv:2311.05232</t>
        </is>
      </c>
      <c r="L21" s="48" t="inlineStr">
        <is>
          <t>https://arxiv.org/html/2311.05232v2</t>
        </is>
      </c>
      <c r="M21" s="49" t="inlineStr">
        <is>
          <t>Прегледът проследява причините през три етапа — данни (misinformation, knowledge boundaries, inferior alignment data), обучение (pre-training limitations, SFT misalignment, RLHF-induced sycophancy) и извод (imperfect decoding, over-confidence, softmax bottleneck, reasoning failures) — и определя откриването и ограничаването като все още открити направления.</t>
        </is>
      </c>
      <c r="N21" s="30" t="inlineStr">
        <is>
          <t>Изводът се потвърждава.</t>
        </is>
      </c>
      <c r="O21" s="30" t="inlineStr">
        <is>
          <t>Claude (авт.)</t>
        </is>
      </c>
      <c r="P21" s="30" t="inlineStr">
        <is>
          <t>28.08.2026</t>
        </is>
      </c>
    </row>
    <row r="22" ht="78" customHeight="1" s="22">
      <c r="A22" s="28" t="n">
        <v>21</v>
      </c>
      <c r="B22" s="28" t="inlineStr">
        <is>
          <t>1.3</t>
        </is>
      </c>
      <c r="C22" s="28" t="inlineStr">
        <is>
          <t>[16]</t>
        </is>
      </c>
      <c r="D22" s="49" t="inlineStr">
        <is>
          <t>[17]</t>
        </is>
      </c>
      <c r="E22" s="29" t="n"/>
      <c r="F22" s="29" t="inlineStr">
        <is>
          <t>Към тях се добавят зависимостта от обучителните данни, която ограничава актуалността на информацията и възпроизвежда съдържащите се в данните пристрастия и неравномерно покритие на отделни области и езици; склонността към шаблонни, повърхностни формулировки при по-сложни теми; и липсата на действително разбиране на предметната област и на педагогически замисъл — моделът имитира формата на учебния текст, без да носи отговорност за неговата дидактическа логика [16].</t>
        </is>
      </c>
      <c r="G22" s="29" t="inlineStr">
        <is>
          <t>Дълъг списък</t>
        </is>
      </c>
      <c r="H22" s="29" t="inlineStr">
        <is>
          <t>Всеки от петте елемента поотделно: зависимост от данните, пристрастия, езиково покритие, шаблонност, липса на педагогически замисъл. Последният вероятно не е в [16].</t>
        </is>
      </c>
      <c r="I22" s="32" t="inlineStr">
        <is>
          <t>Висок</t>
        </is>
      </c>
      <c r="J22" s="30" t="inlineStr">
        <is>
          <t>Потвърдено</t>
        </is>
      </c>
      <c r="K22" s="30" t="inlineStr">
        <is>
          <t>[16] — репозиториум на Университета в Аугсбург</t>
        </is>
      </c>
      <c r="L22" s="48" t="inlineStr">
        <is>
          <t>https://opus.bibliothek.uni-augsburg.de/opus4/files/109030/109030.pdf</t>
        </is>
      </c>
      <c r="M22" s="49" t="inlineStr">
        <is>
          <t>„While the majority of the research in large language models is done for the English language, there is still a gap of research in this field for other languages.“ / моделите са „assistive tools“, които са „well behind human performance when it comes to helping the student“.</t>
        </is>
      </c>
      <c r="N22" s="30" t="inlineStr">
        <is>
          <t>Езиковото покритие е дословно: „While the majority of the research in large language models is done for the English language, there is still a gap of research in this field for other languages.“ Липсата на педагогически замисъл се подкрепя косвено: моделите са описани като „assistive tools“, които са „well behind human performance when it comes to helping the student“.</t>
        </is>
      </c>
      <c r="O22" s="30" t="inlineStr">
        <is>
          <t>Claude (авт.)</t>
        </is>
      </c>
      <c r="P22" s="30" t="inlineStr">
        <is>
          <t>28.08.2026</t>
        </is>
      </c>
    </row>
    <row r="23" ht="78" customHeight="1" s="22">
      <c r="A23" s="28" t="n">
        <v>22</v>
      </c>
      <c r="B23" s="28" t="inlineStr">
        <is>
          <t>1.3</t>
        </is>
      </c>
      <c r="C23" s="28" t="inlineStr">
        <is>
          <t>[25]</t>
        </is>
      </c>
      <c r="D23" s="49" t="inlineStr">
        <is>
          <t>[27]</t>
        </is>
      </c>
      <c r="E23" s="29" t="n"/>
      <c r="F23" s="29" t="inlineStr">
        <is>
          <t>Систематизациите разграничават фактологични халюцинации — противоречие с установими факти — и халюцинации на верността, при които генерираният текст се отклонява от подадения контекст или инструкция; проследяват причините им по цялата верига от обучителните данни през обучението до самото генериране; и стигат до отрезвяващ извод: надеждното откриване и отстраняване на халюцинациите на равнище модел остава открит изследователски проблем [25].</t>
        </is>
      </c>
      <c r="G23" s="29" t="inlineStr">
        <is>
          <t>Терминология</t>
        </is>
      </c>
      <c r="H23" s="29" t="inlineStr">
        <is>
          <t>Разграничението „фактологични“ / „faithfulness“ халюцинации и проследяването на причините по веригата — точни термини на [25].</t>
        </is>
      </c>
      <c r="I23" s="32" t="inlineStr">
        <is>
          <t>Висок</t>
        </is>
      </c>
      <c r="J23" s="30" t="inlineStr">
        <is>
          <t>Потвърдено</t>
        </is>
      </c>
      <c r="K23" s="30" t="inlineStr">
        <is>
          <t>[25] Huang и кол., таксономия</t>
        </is>
      </c>
      <c r="L23" s="48" t="inlineStr">
        <is>
          <t>https://arxiv.org/html/2311.05232v2</t>
        </is>
      </c>
      <c r="M23" s="49" t="inlineStr">
        <is>
          <t>Factuality hallucination: „The LLM's output contains facts that are either inconsistent with real-world information or unverifiable“. Faithfulness hallucination: „The LLM's output deviates from user instructions, provided context, or exhibits internal logical contradictions“.</t>
        </is>
      </c>
      <c r="N23" s="30" t="inlineStr">
        <is>
          <t>Разграничението и проследяването на причините по веригата се потвърждават с точните термини на източника.</t>
        </is>
      </c>
      <c r="O23" s="30" t="inlineStr">
        <is>
          <t>Claude (авт.)</t>
        </is>
      </c>
      <c r="P23" s="30" t="inlineStr">
        <is>
          <t>28.08.2026</t>
        </is>
      </c>
    </row>
    <row r="24" ht="78" customHeight="1" s="22">
      <c r="A24" s="28" t="n">
        <v>23</v>
      </c>
      <c r="B24" s="28" t="inlineStr">
        <is>
          <t>1.4</t>
        </is>
      </c>
      <c r="C24" s="28" t="inlineStr">
        <is>
          <t>[35]</t>
        </is>
      </c>
      <c r="D24" s="49" t="inlineStr">
        <is>
          <t>заменен</t>
        </is>
      </c>
      <c r="E24" s="29" t="n"/>
      <c r="F24" s="29" t="inlineStr">
        <is>
          <t>За целите на анализа те могат да бъдат подредени на три равнища — подпомогнато създаване чрез диалог, структурирани рамкови подходи и автономни системни реализации — като систематичните прегледи регистрират приложения и на трите равнища по цялата верига на учебния процес [35].</t>
        </is>
      </c>
      <c r="G24" s="29" t="inlineStr">
        <is>
          <t>Приписване</t>
        </is>
      </c>
      <c r="H24" s="29" t="inlineStr">
        <is>
          <t>Трите равнища вероятно са авторска систематизация. Провери дали [35] ги извежда; ако не — премести цитата само върху втората част на изречението.</t>
        </is>
      </c>
      <c r="I24" s="32" t="inlineStr">
        <is>
          <t>Висок</t>
        </is>
      </c>
      <c r="J24" s="30" t="inlineStr">
        <is>
          <t>Потвърдено</t>
        </is>
      </c>
      <c r="K24" s="30" t="inlineStr">
        <is>
          <t>Bahroun, Anane, Ahmed и Zacca 2023, Sustainability 15(17), 12983</t>
        </is>
      </c>
      <c r="L24" s="48" t="inlineStr">
        <is>
          <t>https://www.mdpi.com/2071-1050/15/17/12983</t>
        </is>
      </c>
      <c r="M24"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4" s="30" t="inlineStr">
        <is>
          <t>ЗАМЕНЕН ИЗТОЧНИК. Запазена е и уговорката, че прегледът не предлага степенувана класификация — трите равнища остават твоя подредба.</t>
        </is>
      </c>
      <c r="O24" s="30" t="inlineStr">
        <is>
          <t>Claude (авт.)</t>
        </is>
      </c>
      <c r="P24" s="30" t="inlineStr">
        <is>
          <t>29.08.2026</t>
        </is>
      </c>
    </row>
    <row r="25" ht="78" customHeight="1" s="22">
      <c r="A25" s="28" t="n">
        <v>24</v>
      </c>
      <c r="B25" s="28" t="inlineStr">
        <is>
          <t>1.4</t>
        </is>
      </c>
      <c r="C25" s="28" t="inlineStr">
        <is>
          <t>[16]</t>
        </is>
      </c>
      <c r="D25" s="49" t="inlineStr">
        <is>
          <t>[17]</t>
        </is>
      </c>
      <c r="E25" s="29" t="n"/>
      <c r="F25" s="29" t="inlineStr">
        <is>
          <t>Първото и най-разпространено равнище е подпомогнатото създаване: преподавателят взаимодейства с инструмента чрез диалогов интерфейс и възлага отделни, ясно очертани задачи — изготвяне на учебни текстове по зададена тема и за определена аудитория, резюмета на по-обемни материали, примери и казуси, тестови въпроси от различни типове, указания за самостоятелна работа [16].</t>
        </is>
      </c>
      <c r="G25" s="29" t="inlineStr">
        <is>
          <t>Списък приложения</t>
        </is>
      </c>
      <c r="H25" s="29" t="inlineStr">
        <is>
          <t>Изброените задачи при подпомогнатото създаване.</t>
        </is>
      </c>
      <c r="I25" s="28" t="inlineStr">
        <is>
          <t>Среден</t>
        </is>
      </c>
      <c r="J25" s="30" t="inlineStr">
        <is>
          <t>Потвърдено</t>
        </is>
      </c>
      <c r="K25" s="30" t="inlineStr">
        <is>
          <t>[16] — пълен текст</t>
        </is>
      </c>
      <c r="L25" s="48" t="inlineStr">
        <is>
          <t>https://opus.bibliothek.uni-augsburg.de/opus4/files/109030/109030.pdf</t>
        </is>
      </c>
      <c r="M25" s="49" t="inlineStr">
        <is>
          <t>„Large language models can assist in the development of problem-solving skills by providing students with explanations, step-by-step solutions, and interesting related questions.“</t>
        </is>
      </c>
      <c r="N25" s="30" t="inlineStr">
        <is>
          <t>Подпомогнатото създаване се потвърждава: обяснения, стъпка по стъпка решения, свързани въпроси, резюмета и планове.</t>
        </is>
      </c>
      <c r="O25" s="30" t="inlineStr">
        <is>
          <t>Claude (авт.)</t>
        </is>
      </c>
      <c r="P25" s="30" t="inlineStr">
        <is>
          <t>28.08.2026</t>
        </is>
      </c>
    </row>
    <row r="26" ht="78" customHeight="1" s="22">
      <c r="A26" s="28" t="n">
        <v>25</v>
      </c>
      <c r="B26" s="28" t="inlineStr">
        <is>
          <t>1.4</t>
        </is>
      </c>
      <c r="C26" s="28" t="inlineStr">
        <is>
          <t>[15]</t>
        </is>
      </c>
      <c r="D26" s="49" t="inlineStr">
        <is>
          <t>[16]</t>
        </is>
      </c>
      <c r="E26" s="29" t="n"/>
      <c r="F26" s="29" t="inlineStr">
        <is>
          <t>Рамката GAIDE предлага систематизиран процес за използване на генеративни инструменти при разработване на курсово съдържание — от структурирането на заявките през итеративното усъвършенстване на резултатите до тяхната проверка и вграждане в курса [15].</t>
        </is>
      </c>
      <c r="G26" s="29" t="inlineStr">
        <is>
          <t>Описание на рамка</t>
        </is>
      </c>
      <c r="H26" s="29" t="inlineStr">
        <is>
          <t>GAIDE: дали процесът включва точно структуриране на заявките, итеративно усъвършенстване и проверка/вграждане.</t>
        </is>
      </c>
      <c r="I26" s="28" t="inlineStr">
        <is>
          <t>Среден</t>
        </is>
      </c>
      <c r="J26" s="30" t="inlineStr">
        <is>
          <t>Потвърдено</t>
        </is>
      </c>
      <c r="K26" s="30" t="inlineStr">
        <is>
          <t>[15] GAIDE, arXiv:2308.12276 / IEEE FIE 2024</t>
        </is>
      </c>
      <c r="L26" s="48" t="inlineStr">
        <is>
          <t>https://arxiv.org/html/2308.12276v3</t>
        </is>
      </c>
      <c r="M26" s="49" t="inlineStr">
        <is>
          <t>Рамката изисква ясна цел и контекст („how to act, the topic under consideration, prior knowledge students have, relevant student demographics“), после итеративно усъвършенстване на две равнища — макро (пренареждане и съгласуване с целите и учебните резултати) и микро (отделни части) — и накрая проверка спрямо учебните цели и обединяване на резултатите в цялостен документ.</t>
        </is>
      </c>
      <c r="N26" s="30" t="inlineStr">
        <is>
          <t>И трите елемента се потвърждават: структуриране на заявките, итерации, проверка и вграждане.</t>
        </is>
      </c>
      <c r="O26" s="30" t="inlineStr">
        <is>
          <t>Claude (авт.)</t>
        </is>
      </c>
      <c r="P26" s="30" t="inlineStr">
        <is>
          <t>28.08.2026</t>
        </is>
      </c>
    </row>
    <row r="27" ht="78" customHeight="1" s="22">
      <c r="A27" s="28" t="n">
        <v>26</v>
      </c>
      <c r="B27" s="28" t="inlineStr">
        <is>
          <t>1.4</t>
        </is>
      </c>
      <c r="C27" s="28" t="inlineStr">
        <is>
          <t>[14]</t>
        </is>
      </c>
      <c r="D27" s="49" t="inlineStr">
        <is>
          <t>[15]</t>
        </is>
      </c>
      <c r="E27" s="29" t="n"/>
      <c r="F27" s="29" t="inlineStr">
        <is>
          <t>По-широк поглед дава интегративният преглед на Chai и колектив върху 71 публикации, който картографира приложенията на генеративния изкуствен интелект по петте фази на класическия модел за инструкционен дизайн ADDIE — анализ, проектиране, разработване, внедряване и оценяване — и показва, че инструментите навлизат не само във фазата на разработване на съдържание, но по цялата верига на дизайнерския процес [14].</t>
        </is>
      </c>
      <c r="G27" s="29" t="inlineStr">
        <is>
          <t>Число</t>
        </is>
      </c>
      <c r="H27" s="29" t="inlineStr">
        <is>
          <t>„71 публикации“ и картографирането по петте фази на ADDIE — точното число и това, че моделът е ADDIE.</t>
        </is>
      </c>
      <c r="I27" s="33" t="inlineStr">
        <is>
          <t>Критичен</t>
        </is>
      </c>
      <c r="J27" s="30" t="inlineStr">
        <is>
          <t>Потвърдено</t>
        </is>
      </c>
      <c r="K27" s="30" t="inlineStr">
        <is>
          <t>[14] Chai и кол., HRDR 24(4)</t>
        </is>
      </c>
      <c r="L27" s="48" t="inlineStr">
        <is>
          <t>https://journals.sagepub.com/doi/10.1177/15344843251320256</t>
        </is>
      </c>
      <c r="M27" s="49" t="inlineStr">
        <is>
          <t>71 прегледани публикации. „This study adopted the Analysis, Design, Development, Implementation, and Evaluation (ADDIE) model since it is the most widely used instructional and training design model.“</t>
        </is>
      </c>
      <c r="N27" s="30" t="inlineStr">
        <is>
          <t>Числото и моделът се потвърждават точно.</t>
        </is>
      </c>
      <c r="O27" s="30" t="inlineStr">
        <is>
          <t>Claude (авт.)</t>
        </is>
      </c>
      <c r="P27" s="30" t="inlineStr">
        <is>
          <t>28.08.2026</t>
        </is>
      </c>
    </row>
    <row r="28" ht="78" customHeight="1" s="22">
      <c r="A28" s="28" t="n">
        <v>27</v>
      </c>
      <c r="B28" s="28" t="inlineStr">
        <is>
          <t>1.4</t>
        </is>
      </c>
      <c r="C28" s="28" t="inlineStr">
        <is>
          <t>[3]</t>
        </is>
      </c>
      <c r="D28" s="49" t="inlineStr">
        <is>
          <t>[3]</t>
        </is>
      </c>
      <c r="E28" s="29" t="n"/>
      <c r="F28" s="29" t="inlineStr">
        <is>
          <t>Показателен пример от българската практика е концептуалният дизайн на платформа за обучение по дентална анатомия, в която адаптивен алгоритъм изгражда индивидуален профил на обучаемия, генерира клинични сценарии и тестове съобразно равнището му и анализира допуснатите грешки [3].</t>
        </is>
      </c>
      <c r="G28" s="29" t="inlineStr">
        <is>
          <t>Описание на система</t>
        </is>
      </c>
      <c r="H28" s="29" t="inlineStr">
        <is>
          <t>Дали платформата включва адаптивен алгоритъм, индивидуален профил, генерирани клинични сценарии и анализ на грешките.</t>
        </is>
      </c>
      <c r="I28" s="32" t="inlineStr">
        <is>
          <t>Висок</t>
        </is>
      </c>
      <c r="J28" s="30" t="inlineStr">
        <is>
          <t>Потвърдено</t>
        </is>
      </c>
      <c r="K28" s="30" t="inlineStr">
        <is>
          <t>2026_p-96.pdf, печ. стр. 555</t>
        </is>
      </c>
      <c r="L28" s="48" t="inlineStr">
        <is>
          <t>https://www.conf-dte.bg/docs/2026/p-96.pdf</t>
        </is>
      </c>
      <c r="M28" s="49" t="inlineStr">
        <is>
          <t>1.2. Core AI Engine („мозък“) Основният AI модул ще използва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t>
        </is>
      </c>
      <c r="N28" s="30" t="inlineStr">
        <is>
          <t>Дословно: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 това ще анализира допуснатите грешки“. ЕДНА КОРЕКЦИЯ: източникът пише в бъдеще време — платформата е проектирана, не изградена. Смени сегашното време в НИП („изгражда, генерира, анализира“) с „предвижда се да“, иначе твърдиш, че системата работи. || НАНЕСЕНО В НИП 28.08: сегашното време е сменено с „предвижда се… да“.</t>
        </is>
      </c>
      <c r="O28" s="30" t="inlineStr">
        <is>
          <t>Claude (авт.)</t>
        </is>
      </c>
      <c r="P28" s="30" t="inlineStr">
        <is>
          <t>28.08.2026</t>
        </is>
      </c>
    </row>
    <row r="29" ht="78" customHeight="1" s="22">
      <c r="A29" s="28" t="n">
        <v>28</v>
      </c>
      <c r="B29" s="28" t="inlineStr">
        <is>
          <t>1.4</t>
        </is>
      </c>
      <c r="C29" s="28" t="inlineStr">
        <is>
          <t>[36]</t>
        </is>
      </c>
      <c r="D29" s="49" t="inlineStr">
        <is>
          <t>[41]</t>
        </is>
      </c>
      <c r="E29" s="29" t="n"/>
      <c r="F29" s="29" t="inlineStr">
        <is>
          <t>Рамката COGENT генерира образователно съдържание, съобразено с учебната програма и с равнището на обучаемите, като вгражда педагогически ограничения — съответствие с програмата и контрол върху сложността на езика — направо в процеса на генериране [36].</t>
        </is>
      </c>
      <c r="G29" s="29" t="inlineStr">
        <is>
          <t>Описание на рамка</t>
        </is>
      </c>
      <c r="H29" s="29" t="inlineStr">
        <is>
          <t>COGENT: дали педагогическите ограничения са вградени в самия процес на генериране.</t>
        </is>
      </c>
      <c r="I29" s="28" t="inlineStr">
        <is>
          <t>Среден</t>
        </is>
      </c>
      <c r="J29" s="30" t="inlineStr">
        <is>
          <t>Потвърдено</t>
        </is>
      </c>
      <c r="K29" s="30" t="inlineStr">
        <is>
          <t>[36] COGENT, BEA 2025</t>
        </is>
      </c>
      <c r="L29" s="48" t="inlineStr">
        <is>
          <t>https://aclanthology.org/2025.bea-1.10.pdf</t>
        </is>
      </c>
      <c r="M29" s="49" t="inlineStr">
        <is>
          <t>„we incorporate structured curriculum information to guide LLM-based educational content generation, ensuring pedagogical alignment“; „we decompose the curriculum into three hierarchical elements: science concepts, core ideas, and learning objectives“; „we implement constraints on word number, vocabulary, and sentence complexity based on grade-level reading proficiency“.</t>
        </is>
      </c>
      <c r="N29" s="30" t="inlineStr">
        <is>
          <t>Потвърдено: педагогическите ограничения наистина са вградени в самия процес на генериране, а не приложени след това.</t>
        </is>
      </c>
      <c r="O29" s="30" t="inlineStr">
        <is>
          <t>Claude (авт.)</t>
        </is>
      </c>
      <c r="P29" s="30" t="inlineStr">
        <is>
          <t>28.08.2026</t>
        </is>
      </c>
    </row>
    <row r="30" ht="78" customHeight="1" s="22">
      <c r="A30" s="28" t="n">
        <v>29</v>
      </c>
      <c r="B30" s="28" t="inlineStr">
        <is>
          <t>1.4</t>
        </is>
      </c>
      <c r="C30" s="28" t="inlineStr">
        <is>
          <t>[20]</t>
        </is>
      </c>
      <c r="D30" s="49" t="inlineStr">
        <is>
          <t>[22]</t>
        </is>
      </c>
      <c r="E30" s="29" t="n"/>
      <c r="F30" s="29" t="inlineStr">
        <is>
          <t>Още по-далеч отива системата Instructional Agents — мулти-агентна архитектура, в която езикови модели изпълняват ролите на екип по инструкционен дизайн и създават от край до край комплект курсови материали, включително учебна програма, презентации и средства за оценяване, с изрично заявената цел да се намали натоварването на преподавателския състав; системата предвижда различни режими на човешко участие — от одобряване на всяка стъпка до почти пълна автономност [20].</t>
        </is>
      </c>
      <c r="G30" s="29" t="inlineStr">
        <is>
          <t>Описание на система</t>
        </is>
      </c>
      <c r="H30" s="29" t="inlineStr">
        <is>
          <t>Instructional Agents: мулти-агентна архитектура, комплект материали от край до край, режими на човешко участие, заявена цел за намаляване на натоварването.</t>
        </is>
      </c>
      <c r="I30" s="32" t="inlineStr">
        <is>
          <t>Висок</t>
        </is>
      </c>
      <c r="J30" s="30" t="inlineStr">
        <is>
          <t>Потвърдено</t>
        </is>
      </c>
      <c r="K30" s="30" t="inlineStr">
        <is>
          <t>[20] Instructional Agents, arXiv:2508.19611</t>
        </is>
      </c>
      <c r="L30" s="48" t="inlineStr">
        <is>
          <t>https://arxiv.org/abs/2508.19611</t>
        </is>
      </c>
      <c r="M30" s="49" t="inlineStr">
        <is>
          <t>„four modes: Autonomous, Catalog-Guided, Feedback-Guided, and Full Co-Pilot mode, enabling flexible control over the degree of human involvement“; „automate end-to-end course material generation, including syllabi creation, LaTeX-based slides, lecture scripts, and assessments“.</t>
        </is>
      </c>
      <c r="N30" s="30" t="inlineStr">
        <is>
          <t>НАНЕСЕНО В НИП 28.08: четирите режима са назовани поименно — автономен, направляван по каталог, направляван чрез обратна връзка и пълно съвместно управление.</t>
        </is>
      </c>
      <c r="O30" s="30" t="inlineStr">
        <is>
          <t>Claude (авт.)</t>
        </is>
      </c>
      <c r="P30" s="30" t="inlineStr">
        <is>
          <t>28.08.2026</t>
        </is>
      </c>
    </row>
    <row r="31" ht="78" customHeight="1" s="22">
      <c r="A31" s="28" t="n">
        <v>30</v>
      </c>
      <c r="B31" s="28" t="inlineStr">
        <is>
          <t>1.4</t>
        </is>
      </c>
      <c r="C31" s="28" t="inlineStr">
        <is>
          <t>[8]</t>
        </is>
      </c>
      <c r="D31" s="49" t="inlineStr">
        <is>
          <t>[8]</t>
        </is>
      </c>
      <c r="E31" s="29" t="n"/>
      <c r="F31" s="29" t="inlineStr">
        <is>
          <t>Прегледът на около 130 източника за приложението на изкуствения интелект в обучението по програмиране показва, че генеративните инструменти вече се използват от преподаватели за съставяне на планове на занятия, генериране на задачи и на въпроси с множествен избор, като студентите не разпознават машинния произход на задачите и ги възприемат като подходящи по трудност [8].</t>
        </is>
      </c>
      <c r="G31" s="29" t="inlineStr">
        <is>
          <t>Число + емпирика</t>
        </is>
      </c>
      <c r="H31" s="29" t="inlineStr">
        <is>
          <t>„около 130 източника“ и твърдението, че студентите не разпознават машинния произход — дали е измерено в източника или е препратка.</t>
        </is>
      </c>
      <c r="I31" s="33" t="inlineStr">
        <is>
          <t>Критичен</t>
        </is>
      </c>
      <c r="J31" s="30" t="inlineStr">
        <is>
          <t>Потвърдено</t>
        </is>
      </c>
      <c r="K31" s="30" t="inlineStr">
        <is>
          <t>2026_p-3.pdf, печ. стр. 25 и 26</t>
        </is>
      </c>
      <c r="L31" s="48" t="inlineStr">
        <is>
          <t>https://www.conf-dte.bg/docs/2026/p-3.pdf</t>
        </is>
      </c>
      <c r="M31" s="49" t="inlineStr">
        <is>
          <t>насочено към обучение по Програмиране за начинаещи, повечето от разгледаните подходи могат да се използват без ограничение в обучението и по други дисциплини. Разгледани са около 130 литературни източника от целия свят. Фиг. 1 показва разпределението по страни. Използвано е и е разширено съществуващо литературни проучване на Manorat, et al. [1], като са анализирани още 15 нови</t>
        </is>
      </c>
      <c r="N31" s="30" t="inlineStr">
        <is>
          <t>„Разгледани са около 130 литературни източника от целия свят“ (стр. 25) и „Студентите не разбират, че са генерирани от ИИ и смятат, че са подходящи по трудност“ (стр. 26). И двете са вторични — Василев препраща към свои източници [1] и [4]. Обмисли „по данни, обобщени в [8]“. || НАНЕСЕНО В НИП 28.08: „показва, че“ стана „обобщава публикувани данни, според които“.</t>
        </is>
      </c>
      <c r="O31" s="30" t="inlineStr">
        <is>
          <t>Claude (авт.)</t>
        </is>
      </c>
      <c r="P31" s="30" t="inlineStr">
        <is>
          <t>28.08.2026</t>
        </is>
      </c>
    </row>
    <row r="32" ht="78" customHeight="1" s="22">
      <c r="A32" s="38" t="n">
        <v>31</v>
      </c>
      <c r="B32" s="38" t="inlineStr">
        <is>
          <t>1.4</t>
        </is>
      </c>
      <c r="C32" s="38" t="inlineStr">
        <is>
          <t>[6]</t>
        </is>
      </c>
      <c r="D32" s="49" t="inlineStr">
        <is>
          <t>[6]</t>
        </is>
      </c>
      <c r="E32" s="39" t="n"/>
      <c r="F32" s="39" t="inlineStr">
        <is>
          <t>Публикуваните описания на инструментални работни процеси в български висши училища съобщават за съкращаване на времето за подготовка на стандартни учебни материали със 75–90 на сто [6], което дава количествено измерение на стимула за масово навлизане на тези практики.</t>
        </is>
      </c>
      <c r="G32" s="39" t="inlineStr">
        <is>
          <t>Число</t>
        </is>
      </c>
      <c r="H32" s="39" t="inlineStr">
        <is>
          <t>Диапазонът 75–90 %: как е получен (измерване или оценка), за какви материали. Ако е авторска оценка — текстът да се преформулира и „публикувани описания“ (мн.ч.) да стане ед.ч.</t>
        </is>
      </c>
      <c r="I32" s="33" t="inlineStr">
        <is>
          <t>Критичен</t>
        </is>
      </c>
      <c r="J32" s="38" t="inlineStr">
        <is>
          <t>Не се потвърждава</t>
        </is>
      </c>
      <c r="K32" s="38" t="inlineStr">
        <is>
          <t>2026_p-94.pdf — само англ. резюме, печ. стр. 541</t>
        </is>
      </c>
      <c r="L32" s="48" t="inlineStr">
        <is>
          <t>https://www.conf-dte.bg/docs/2026/p-94.pdf</t>
        </is>
      </c>
      <c r="M32" s="49" t="inlineStr">
        <is>
          <t>Числото е само в англ. резюме: „Case studies demonstrate 75-90% time reduction in preparing standard teaching materials.“ В българския текст няма такова число и няма представени измервания.</t>
        </is>
      </c>
      <c r="N32" s="38" t="inlineStr">
        <is>
          <t>Диапазонът 75–90 % присъства ЕДИНСТВЕНО в англоезичното резюме („Case studies demonstrate 75–90% time reduction“). В българския текст няма такова число, няма и представени измервания; списъкът с литература е от 6 заглавия, предимно вендорска документация (OpenAI, Perplexity, Gemini). ДЕЙСТВИЕ: премахни числото или го преформулирай като заявена от автора оценка; „публикувани описания“ (мн.ч.) е невярно при един източник. || НАНЕСЕНО В НИП 28.08: числото 75–90 на сто е премахнато; множественото число е сведено до един източник.</t>
        </is>
      </c>
      <c r="O32" s="38" t="inlineStr">
        <is>
          <t>Claude (авт.)</t>
        </is>
      </c>
      <c r="P32" s="38" t="inlineStr">
        <is>
          <t>28.08.2026</t>
        </is>
      </c>
    </row>
    <row r="33" ht="78" customHeight="1" s="22">
      <c r="A33" s="28" t="n">
        <v>32</v>
      </c>
      <c r="B33" s="28" t="inlineStr">
        <is>
          <t>1.4</t>
        </is>
      </c>
      <c r="C33" s="28" t="inlineStr">
        <is>
          <t>[2]</t>
        </is>
      </c>
      <c r="D33" s="49" t="inlineStr">
        <is>
          <t>[2]</t>
        </is>
      </c>
      <c r="E33" s="29" t="n"/>
      <c r="F33" s="29" t="inlineStr">
        <is>
          <t>Разработена в морско висше училище система обработва над 656 000 знака учебен текст на български и английски език и генерира 553 въпроса с множествен избор, като работният процес в осем стъпки задължително включва одобрение от преподавателя преди записване на всеки въпрос [2].</t>
        </is>
      </c>
      <c r="G33" s="29" t="inlineStr">
        <is>
          <t>Числа</t>
        </is>
      </c>
      <c r="H33" s="29" t="inlineStr">
        <is>
          <t>656 000 знака, 553 въпроса, осем стъпки, задължително одобрение — четири отделни факта.</t>
        </is>
      </c>
      <c r="I33" s="33" t="inlineStr">
        <is>
          <t>Критичен</t>
        </is>
      </c>
      <c r="J33" s="30" t="inlineStr">
        <is>
          <t>Потвърдено</t>
        </is>
      </c>
      <c r="K33" s="30" t="inlineStr">
        <is>
          <t>2026_p-100.pdf, печ. стр. 578 и 580</t>
        </is>
      </c>
      <c r="L33" s="48" t="inlineStr">
        <is>
          <t>https://www.conf-dte.bg/docs/2026/p-100.pdf</t>
        </is>
      </c>
      <c r="M33" s="49" t="inlineStr">
        <is>
          <t>Целта на експеримента е да се установи до каква степен системата генерира въпроси, приложими за директна употреба, и какъв обем редакция се налага. Общият обем на обработения текст е приблизително 656 000 знака (без интервали) на два езика. Обобщените резултати са представени в Табл. 1.</t>
        </is>
      </c>
      <c r="N33" s="30" t="inlineStr">
        <is>
          <t>656 813 знака (НИП: „над 656 000“ — коректно), 553 въпроса, осемстъпков работен процес с одобрение от преподавателя. Точно.</t>
        </is>
      </c>
      <c r="O33" s="30" t="inlineStr">
        <is>
          <t>Claude (авт.)</t>
        </is>
      </c>
      <c r="P33" s="30" t="inlineStr">
        <is>
          <t>28.08.2026</t>
        </is>
      </c>
    </row>
    <row r="34" ht="78" customHeight="1" s="22">
      <c r="A34" s="28" t="n">
        <v>33</v>
      </c>
      <c r="B34" s="28" t="inlineStr">
        <is>
          <t>1.4</t>
        </is>
      </c>
      <c r="C34" s="28" t="inlineStr">
        <is>
          <t>[6]</t>
        </is>
      </c>
      <c r="D34" s="49" t="inlineStr">
        <is>
          <t>[6]</t>
        </is>
      </c>
      <c r="E34" s="29" t="n"/>
      <c r="F34" s="29" t="inlineStr">
        <is>
          <t>Практическите ръководства за преподаватели извеждат повтарящ се набор от правила — определяне на роля, предоставяне на контекст за аудиторията и предварителните ѝ знания, конкретност на задачата, работа на стъпки и съчетаване на генерирания резултат със собствена експертиза [6].</t>
        </is>
      </c>
      <c r="G34" s="29" t="inlineStr">
        <is>
          <t>Списък правила</t>
        </is>
      </c>
      <c r="H34" s="29" t="inlineStr">
        <is>
          <t>Дали петте правила за заявки са изброени така в [6].</t>
        </is>
      </c>
      <c r="I34" s="28" t="inlineStr">
        <is>
          <t>Среден</t>
        </is>
      </c>
      <c r="J34" s="30" t="inlineStr">
        <is>
          <t>Потвърдено</t>
        </is>
      </c>
      <c r="K34" s="30" t="inlineStr">
        <is>
          <t>2026_p-94.pdf, печ. стр. 543</t>
        </is>
      </c>
      <c r="L34" s="48" t="inlineStr">
        <is>
          <t>https://www.conf-dte.bg/docs/2026/p-94.pdf</t>
        </is>
      </c>
      <c r="M34" s="49" t="inlineStr">
        <is>
          <t>умението да се конструират ефективни инструкции, които водят до точни, релевантни и полезни отговори. Пет златни правила: 1. Дефинирай роля - "Ти си опитен преподавател по..." настройва AI да отговаря с подходящ експертен тон</t>
        </is>
      </c>
      <c r="N34" s="30" t="inlineStr">
        <is>
          <t>Източникът дава „Пет златни правила“: дефинирай роля, предостави контекст (ниво и предварителни знания), бъди специфичен, работи стъпка по стъпка, комбинирай с лична експертиза. Съвпада точно. НО както при ред 31: „Практическите ръководства“ (мн.ч.) стъпват на един източник — сложи ед.ч. или добави втори източник. || НАНЕСЕНО В НИП 28.08: „Практическите ръководства… извеждат“ стана „Практическо ръководство… извежда“.</t>
        </is>
      </c>
      <c r="O34" s="30" t="inlineStr">
        <is>
          <t>Claude (авт.)</t>
        </is>
      </c>
      <c r="P34" s="30" t="inlineStr">
        <is>
          <t>28.08.2026</t>
        </is>
      </c>
    </row>
    <row r="35" ht="78" customHeight="1" s="22">
      <c r="A35" s="28" t="n">
        <v>34</v>
      </c>
      <c r="B35" s="28" t="inlineStr">
        <is>
          <t>1.5</t>
        </is>
      </c>
      <c r="C35" s="28" t="inlineStr">
        <is>
          <t>[19]</t>
        </is>
      </c>
      <c r="D35" s="49" t="inlineStr">
        <is>
          <t>[20]</t>
        </is>
      </c>
      <c r="E35" s="29" t="n"/>
      <c r="F35" s="29" t="inlineStr">
        <is>
          <t>Полезна систематизираща рамка предлага анализът на силните и слабите страни, възможностите и заплахите (SWOT) на генеративния изкуствен интелект в инструкционния дизайн [19], който подрежда разпръснатите в литературата наблюдения в четири взаимно свързани полета.</t>
        </is>
      </c>
      <c r="G35" s="29" t="inlineStr">
        <is>
          <t>Рамка</t>
        </is>
      </c>
      <c r="H35" s="29" t="inlineStr">
        <is>
          <t>Дали [19] е SWOT анализ в областта на инструкционния дизайн.</t>
        </is>
      </c>
      <c r="I35" s="28" t="inlineStr">
        <is>
          <t>Нисък</t>
        </is>
      </c>
      <c r="J35" s="30" t="inlineStr">
        <is>
          <t>Потвърдено</t>
        </is>
      </c>
      <c r="K35" s="30" t="inlineStr">
        <is>
          <t>[19] TechTrends 68(4)</t>
        </is>
      </c>
      <c r="L35" s="48" t="inlineStr">
        <is>
          <t>https://link.springer.com/article/10.1007/s11528-024-00967-w</t>
        </is>
      </c>
      <c r="M35" s="49" t="inlineStr">
        <is>
          <t>Статията е изрично SWOT анализ на генеративния ИИ в инструкционния дизайн.</t>
        </is>
      </c>
      <c r="N35" s="30" t="inlineStr">
        <is>
          <t>Рамката се потвърждава.</t>
        </is>
      </c>
      <c r="O35" s="30" t="inlineStr">
        <is>
          <t>Claude (авт.)</t>
        </is>
      </c>
      <c r="P35" s="30" t="inlineStr">
        <is>
          <t>28.08.2026</t>
        </is>
      </c>
    </row>
    <row r="36" ht="78" customHeight="1" s="22">
      <c r="A36" s="28" t="n">
        <v>35</v>
      </c>
      <c r="B36" s="28" t="inlineStr">
        <is>
          <t>1.5</t>
        </is>
      </c>
      <c r="C36" s="28" t="inlineStr">
        <is>
          <t>[28]</t>
        </is>
      </c>
      <c r="D36" s="49" t="inlineStr">
        <is>
          <t>[31]</t>
        </is>
      </c>
      <c r="E36" s="29" t="n"/>
      <c r="F36" s="29" t="inlineStr">
        <is>
          <t>Систематичният преглед на изследванията за периода 2007–2018 г. документира богата предистория — профилиране и прогнозиране на успеваемостта, интелигентни туторни системи, адаптивно оценяване — но и системен дефицит: слаба обвързаност на разработките с педагогическата теория и ограничено участие на педагози в създаването им [28].</t>
        </is>
      </c>
      <c r="G36" s="29" t="inlineStr">
        <is>
          <t>Период + извод</t>
        </is>
      </c>
      <c r="H36" s="29" t="inlineStr">
        <is>
          <t>Периодът 2007–2018 г. и изводът за слаба обвързаност с педагогическата теория и ограничено участие на педагози.</t>
        </is>
      </c>
      <c r="I36" s="32" t="inlineStr">
        <is>
          <t>Висок</t>
        </is>
      </c>
      <c r="J36" s="30" t="inlineStr">
        <is>
          <t>Потвърдено</t>
        </is>
      </c>
      <c r="K36" s="30" t="inlineStr">
        <is>
          <t>IJETHE, т. 16, чл. 39, 2019 — методология</t>
        </is>
      </c>
      <c r="L36" s="48" t="inlineStr">
        <is>
          <t>https://link.springer.com/article/10.1186/s41239-019-0171-0</t>
        </is>
      </c>
      <c r="M36" s="49" t="inlineStr">
        <is>
          <t>„it was decided to limit articles to those published during or after 2007“; 2656 намерени записа, 146 включени в анализа; периодът е 2007–2018 г.</t>
        </is>
      </c>
      <c r="N36" s="30" t="inlineStr">
        <is>
          <t>Периодът 2007–2018 е потвърден (2656 намерени, 146 включени). Изводът за слабото участие на педагози е в заглавието и абстракта.</t>
        </is>
      </c>
      <c r="O36" s="30" t="inlineStr">
        <is>
          <t>Claude (авт.)</t>
        </is>
      </c>
      <c r="P36" s="30" t="inlineStr">
        <is>
          <t>28.08.2026</t>
        </is>
      </c>
    </row>
    <row r="37" ht="78" customHeight="1" s="22">
      <c r="A37" s="28" t="n">
        <v>36</v>
      </c>
      <c r="B37" s="28" t="inlineStr">
        <is>
          <t>1.5</t>
        </is>
      </c>
      <c r="C37" s="28" t="inlineStr">
        <is>
          <t>[19]</t>
        </is>
      </c>
      <c r="D37" s="49" t="inlineStr">
        <is>
          <t>[20]</t>
        </is>
      </c>
      <c r="E37" s="29" t="n"/>
      <c r="F37" s="29" t="inlineStr">
        <is>
          <t>Генеративните инструменти съкращават многократно времето за подготовка на учебни материали, подпомагат преодоляването на творчески блокаж чрез бързо генериране на варианти и идеи и правят възможно създаването на разнообразни версии на един и същ материал — за различни равнища на подготовка, стилове на представяне и формати [19].</t>
        </is>
      </c>
      <c r="G37" s="29" t="inlineStr">
        <is>
          <t>Списък предимства</t>
        </is>
      </c>
      <c r="H37" s="29" t="inlineStr">
        <is>
          <t>Трите предимства — съкращаване на времето, преодоляване на блокаж, варианти на един материал.</t>
        </is>
      </c>
      <c r="I37" s="28" t="inlineStr">
        <is>
          <t>Среден</t>
        </is>
      </c>
      <c r="J37" s="30" t="inlineStr">
        <is>
          <t>Частично потвърдено</t>
        </is>
      </c>
      <c r="K37" s="30" t="inlineStr">
        <is>
          <t>[19] TechTrends 68(4)</t>
        </is>
      </c>
      <c r="L37" s="48" t="inlineStr">
        <is>
          <t>https://link.springer.com/content/pdf/10.1007/s11528-024-00967-w.pdf</t>
        </is>
      </c>
      <c r="M37" s="49" t="inlineStr">
        <is>
          <t>„ChatGPT provided opportunities to decrease instructors' workload“; „diversity of instructional activities and assignments“. Твърдение за „творчески блокаж“ ЛИПСВА.</t>
        </is>
      </c>
      <c r="N37" s="30" t="inlineStr">
        <is>
          <t>НАНЕСЕНО В НИП 28.08: „преодоляване на творчески блокаж“ отпадна; изречението вече твърди само намаляване на натоварването и разнообразяване на дейностите и задачите.</t>
        </is>
      </c>
      <c r="O37" s="30" t="inlineStr">
        <is>
          <t>Claude (авт.)</t>
        </is>
      </c>
      <c r="P37" s="30" t="inlineStr">
        <is>
          <t>28.08.2026</t>
        </is>
      </c>
    </row>
    <row r="38" ht="78" customHeight="1" s="22">
      <c r="A38" s="28" t="n">
        <v>37</v>
      </c>
      <c r="B38" s="28" t="inlineStr">
        <is>
          <t>1.5</t>
        </is>
      </c>
      <c r="C38" s="28" t="inlineStr">
        <is>
          <t>[35]</t>
        </is>
      </c>
      <c r="D38" s="49" t="inlineStr">
        <is>
          <t>заменен</t>
        </is>
      </c>
      <c r="E38" s="29" t="n"/>
      <c r="F38" s="29" t="inlineStr">
        <is>
          <t>Систематичните прегледи добавят към това потенциала за персонализация на учебното съдържание и за подкрепа на обучаемите при самоподготовка в мащаб, непостижим за отделния преподавател [35].</t>
        </is>
      </c>
      <c r="G38" s="29" t="inlineStr">
        <is>
          <t>Обобщение</t>
        </is>
      </c>
      <c r="H38" s="29" t="inlineStr">
        <is>
          <t>Персонализация и подкрепа при самоподготовка „в мащаб“.</t>
        </is>
      </c>
      <c r="I38" s="28" t="inlineStr">
        <is>
          <t>Среден</t>
        </is>
      </c>
      <c r="J38" s="30" t="inlineStr">
        <is>
          <t>Потвърдено</t>
        </is>
      </c>
      <c r="K38" s="30" t="inlineStr">
        <is>
          <t>Bahroun, Anane, Ahmed и Zacca 2023, Sustainability 15(17), 12983</t>
        </is>
      </c>
      <c r="L38" s="48" t="inlineStr">
        <is>
          <t>https://www.mdpi.com/2071-1050/15/17/12983</t>
        </is>
      </c>
      <c r="M38"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38" s="30" t="inlineStr">
        <is>
          <t>ЗАМЕНЕН ИЗТОЧНИК. Отпадна „в мащаб, непостижим за отделния преподавател“ — това не е твърдение на източника.</t>
        </is>
      </c>
      <c r="O38" s="30" t="inlineStr">
        <is>
          <t>Claude (авт.)</t>
        </is>
      </c>
      <c r="P38" s="30" t="inlineStr">
        <is>
          <t>29.08.2026</t>
        </is>
      </c>
    </row>
    <row r="39" ht="78" customHeight="1" s="22">
      <c r="A39" s="28" t="n">
        <v>38</v>
      </c>
      <c r="B39" s="28" t="inlineStr">
        <is>
          <t>1.5</t>
        </is>
      </c>
      <c r="C39" s="28" t="inlineStr">
        <is>
          <t>[19]</t>
        </is>
      </c>
      <c r="D39" s="49" t="inlineStr">
        <is>
          <t>[20]</t>
        </is>
      </c>
      <c r="E39" s="29" t="n"/>
      <c r="F39" s="29" t="inlineStr">
        <is>
          <t>Генерираните материали може да съдържат фактически грешки и измислени източници, поднесени убедително; качеството е неравномерно и трудно предвидимо между отделни заявки; при по-сложни теми изложението клони към повърхностност и общи формулировки; а произведеният текст често е педагогически плосък — коректен на пръв поглед, но без осъзната дидактическа логика [19].</t>
        </is>
      </c>
      <c r="G39" s="29" t="inlineStr">
        <is>
          <t>Списък ограничения</t>
        </is>
      </c>
      <c r="H39" s="29" t="inlineStr">
        <is>
          <t>Фактически грешки и измислени източници, неравномерно качество, повърхностност, педагогическа плоскост.</t>
        </is>
      </c>
      <c r="I39" s="28" t="inlineStr">
        <is>
          <t>Среден</t>
        </is>
      </c>
      <c r="J39" s="30" t="inlineStr">
        <is>
          <t>Частично потвърдено</t>
        </is>
      </c>
      <c r="K39" s="30" t="inlineStr">
        <is>
          <t>[19] TechTrends 68(4)</t>
        </is>
      </c>
      <c r="L39" s="48" t="inlineStr">
        <is>
          <t>https://link.springer.com/content/pdf/10.1007/s11528-024-00967-w.pdf</t>
        </is>
      </c>
      <c r="M39" s="49" t="inlineStr">
        <is>
          <t>„ChatGPT would fabricate a list of reading materials and references that did not exist“; „Lack of Depth in Quiz and Assessments“; „If ChatGPT does not provide consistent outputs, there could be quality control issues“.</t>
        </is>
      </c>
      <c r="N39" s="30" t="inlineStr">
        <is>
          <t>Измислените източници, неравномерното качество и повърхностността се потвърждават. „Педагогически плосък — коректен на пръв поглед, но без осъзната дидактическа логика“ е твоя характеристика, не на източника. Оставено, но е кандидат за Ниво 3.</t>
        </is>
      </c>
      <c r="O39" s="30" t="inlineStr">
        <is>
          <t>Claude (авт.)</t>
        </is>
      </c>
      <c r="P39" s="30" t="inlineStr">
        <is>
          <t>28.08.2026</t>
        </is>
      </c>
    </row>
    <row r="40" ht="78" customHeight="1" s="22">
      <c r="A40" s="28" t="n">
        <v>39</v>
      </c>
      <c r="B40" s="28" t="inlineStr">
        <is>
          <t>1.5</t>
        </is>
      </c>
      <c r="C40" s="28" t="inlineStr">
        <is>
          <t>[16]</t>
        </is>
      </c>
      <c r="D40" s="49" t="inlineStr">
        <is>
          <t>[17]</t>
        </is>
      </c>
      <c r="E40" s="29" t="n"/>
      <c r="F40" s="29" t="inlineStr">
        <is>
          <t>На първо място е академичната коректност: неотчетеното използване на генерирано съдържание размива границата между собствен и чужд труд — както при обучаемите, така и при преподавателите и авторите на учебни ресурси [16].</t>
        </is>
      </c>
      <c r="G40" s="29" t="inlineStr">
        <is>
          <t>Извод</t>
        </is>
      </c>
      <c r="H40" s="29" t="inlineStr">
        <is>
          <t>Дали [16] формулира размиването на границата между собствен и чужд труд и за преподаватели/автори, не само за обучаеми.</t>
        </is>
      </c>
      <c r="I40" s="28" t="inlineStr">
        <is>
          <t>Среден</t>
        </is>
      </c>
      <c r="J40" s="30" t="inlineStr">
        <is>
          <t>Частично потвърдено</t>
        </is>
      </c>
      <c r="K40" s="30" t="inlineStr">
        <is>
          <t>[16] — пълен текст</t>
        </is>
      </c>
      <c r="L40" s="48" t="inlineStr">
        <is>
          <t>https://opus.bibliothek.uni-augsburg.de/opus4/files/109030/109030.pdf</t>
        </is>
      </c>
      <c r="M40" s="49" t="inlineStr">
        <is>
          <t>„It is becoming increasingly difficult to distinguish whether a text is machine- or human-generated.“ / „the answer may contain a full sentence or even a paragraph seen in the training set, leading to copyright and plagiarism issues.“</t>
        </is>
      </c>
      <c r="N40" s="30" t="inlineStr">
        <is>
          <t>Източникът поддържа, че става все по-трудно да се различи машинно от човешко авторство, и говори за плагиатство. Разширяването към преподавателите и авторите на учебни ресурси е твое. НАНЕСЕНО В НИП 28.08: изречението вече цитира [16] за наблюдението, а разширението е обособено като извод.</t>
        </is>
      </c>
      <c r="O40" s="30" t="inlineStr">
        <is>
          <t>Claude (авт.)</t>
        </is>
      </c>
      <c r="P40" s="30" t="inlineStr">
        <is>
          <t>28.08.2026</t>
        </is>
      </c>
    </row>
    <row r="41" ht="78" customHeight="1" s="22">
      <c r="A41" s="34" t="n">
        <v>40</v>
      </c>
      <c r="B41" s="34" t="inlineStr">
        <is>
          <t>1.5</t>
        </is>
      </c>
      <c r="C41" s="34" t="inlineStr">
        <is>
          <t>[19]</t>
        </is>
      </c>
      <c r="D41" s="49" t="inlineStr">
        <is>
          <t>[20]</t>
        </is>
      </c>
      <c r="E41" s="35" t="n"/>
      <c r="F41" s="35" t="inlineStr">
        <is>
          <t>Следват рискът от прекомерна зависимост — пренасяне на съществени интелектуални операции върху инструмента, при което се атрофират точно уменията, които обучението трябва да изгради; рисковете за личните данни при работа с комерсиални платформи; и рискът от неравен достъп, при който качеството на учебните материали започва да зависи от достъпа до платени инструменти [19].</t>
        </is>
      </c>
      <c r="G41" s="35" t="inlineStr">
        <is>
          <t>Списък рискове</t>
        </is>
      </c>
      <c r="H41" s="35" t="inlineStr">
        <is>
          <t>Свръхзависимост, лични данни, неравен достъп — трите поотделно.</t>
        </is>
      </c>
      <c r="I41" s="34" t="inlineStr">
        <is>
          <t>Среден</t>
        </is>
      </c>
      <c r="J41" s="34" t="inlineStr">
        <is>
          <t>Не се потвърждава</t>
        </is>
      </c>
      <c r="K41" s="34" t="inlineStr">
        <is>
          <t>[19] TechTrends 68(4), раздел Threats</t>
        </is>
      </c>
      <c r="L41" s="54" t="inlineStr">
        <is>
          <t>https://link.springer.com/content/pdf/10.1007/s11528-024-00967-w.pdf</t>
        </is>
      </c>
      <c r="M41" s="55" t="inlineStr">
        <is>
          <t>Проверен е разделът Threats. Прекомерната зависимост е само загатната: „is it forfeiting a valuable opportunity for instructors to engage in learning to better teach and instruct?“. За ЛИЧНИ ДАННИ и НЕРАВЕН ДОСТЪП няма нищо — темите отсъстват от анализа.</t>
        </is>
      </c>
      <c r="N41" s="34" t="inlineStr">
        <is>
          <t>НАЙ-СЕРИОЗНАТА НАХОДКА В ТАЗИ ПАРТИДА. Три риска бяха приписани на [19]; източникът поддържа само единия, и то слабо. НАНЕСЕНО В НИП 28.08: зависимостта е формулирана като въпроса, който авторите наистина поставят; личните данни са пренасочени към [16]; неравният достъп остана без цитат и влиза в Ниво 3 като твой извод.</t>
        </is>
      </c>
      <c r="O41" s="34" t="inlineStr">
        <is>
          <t>Claude (авт.)</t>
        </is>
      </c>
      <c r="P41" s="34" t="inlineStr">
        <is>
          <t>28.08.2026</t>
        </is>
      </c>
    </row>
    <row r="42" ht="78" customHeight="1" s="22">
      <c r="A42" s="28" t="n">
        <v>41</v>
      </c>
      <c r="B42" s="28" t="inlineStr">
        <is>
          <t>1.5</t>
        </is>
      </c>
      <c r="C42" s="28" t="inlineStr">
        <is>
          <t>[5]</t>
        </is>
      </c>
      <c r="D42" s="49" t="inlineStr">
        <is>
          <t>[5]</t>
        </is>
      </c>
      <c r="E42" s="29" t="n"/>
      <c r="F42" s="29" t="inlineStr">
        <is>
          <t>Проучване сред 68 педагогически специалисти от всички образователни степени установява преобладаващо положително отношение към образователните приложения на изкуствения интелект по трите оценъчни оси, но качественият анализ на реалните работни процеси показва, че реалната употреба изостава: преобладава инструментална логика на внедряване, а само отделни случаи достигат до трансформативна интеграция с педагогическа преработка на генерирания резултат [5].</t>
        </is>
      </c>
      <c r="G42" s="29" t="inlineStr">
        <is>
          <t>Число + методика</t>
        </is>
      </c>
      <c r="H42" s="29" t="inlineStr">
        <is>
          <t>Извадка от 68 педагогически специалисти, „три оценъчни оси“, разграничението инструментална/трансформативна интеграция.</t>
        </is>
      </c>
      <c r="I42" s="33" t="inlineStr">
        <is>
          <t>Критичен</t>
        </is>
      </c>
      <c r="J42" s="30" t="inlineStr">
        <is>
          <t>Потвърдено</t>
        </is>
      </c>
      <c r="K42" s="30" t="inlineStr">
        <is>
          <t>[5] Левунлиева — без промяна на източника</t>
        </is>
      </c>
      <c r="L42" s="48" t="inlineStr">
        <is>
          <t>https://www.conf-dte.bg/docs/2026/p-106.pdf</t>
        </is>
      </c>
      <c r="M42" s="49" t="inlineStr">
        <is>
          <t>„68 респонденти… оцениха по три бинарни скали: добро – лошо…“; високи оценки 40/68 (58,82 %), 43/68 (63,24 %), 42/68 (61,76 %); неутрални по първата скала 39,71 %.</t>
        </is>
      </c>
      <c r="N42" s="30" t="inlineStr">
        <is>
          <t>НАНЕСЕНО В НИП 29.08: премахната е препратката към модела в следващите глави. Изречението вече описва само средата, която данните показват.</t>
        </is>
      </c>
      <c r="O42" s="30" t="inlineStr">
        <is>
          <t>Claude (авт.)</t>
        </is>
      </c>
      <c r="P42" s="30" t="inlineStr">
        <is>
          <t>29.08.2026</t>
        </is>
      </c>
    </row>
    <row r="43" ht="78" customHeight="1" s="22">
      <c r="A43" s="28" t="n">
        <v>42</v>
      </c>
      <c r="B43" s="28" t="inlineStr">
        <is>
          <t>1.5</t>
        </is>
      </c>
      <c r="C43" s="28" t="inlineStr">
        <is>
          <t>[4]</t>
        </is>
      </c>
      <c r="D43" s="49" t="inlineStr">
        <is>
          <t>[4]</t>
        </is>
      </c>
      <c r="E43" s="29" t="n"/>
      <c r="F43" s="29" t="inlineStr">
        <is>
          <t>Към рисковете за обучаемите българските изследвания добавят и опасността от повърхностно усвояване, свързана с практиките на механично пренасяне на генерирания резултат; преодоляването ѝ се търси чрез педагогически подходи, при които инструментът подпомага, но не замества мисловния процес на обучаемия [4].</t>
        </is>
      </c>
      <c r="G43" s="29" t="inlineStr">
        <is>
          <t>Извод</t>
        </is>
      </c>
      <c r="H43" s="29" t="inlineStr">
        <is>
          <t>Опасност от повърхностно усвояване и предложеният педагогически подход.</t>
        </is>
      </c>
      <c r="I43" s="28" t="inlineStr">
        <is>
          <t>Среден</t>
        </is>
      </c>
      <c r="J43" s="30" t="inlineStr">
        <is>
          <t>Потвърдено</t>
        </is>
      </c>
      <c r="K43" s="30" t="inlineStr">
        <is>
          <t>2026_p-124.pdf, печ. стр. 717 и 719</t>
        </is>
      </c>
      <c r="L43" s="48" t="inlineStr">
        <is>
          <t>https://www.conf-dte.bg/docs/2026/p-124.pdf</t>
        </is>
      </c>
      <c r="M43" s="49" t="inlineStr">
        <is>
          <t>• игри и интерактивни истории ГИИ се използва като подкрепящ инструмент за генериране на идеи и сценарии, както и за технологична реализация на визуализацията, но не замества мисловния процес.</t>
        </is>
      </c>
      <c r="N43" s="30" t="inlineStr">
        <is>
          <t>Опасността от повърхностно учене е на стр. 717, но Дамесова я приписва на Levin, Marom и др. — вторично цитиране. Педагогическият подход е на стр. 719: „не замества мисловния процес“. ДЕЙСТВИЕ: или цитирай първоизточника, или напиши „по данни, цитирани в [4]“. || НАНЕСЕНО В НИП 28.08: „българските изследвания добавят“ стана „българските публикации препращат към данни за“.</t>
        </is>
      </c>
      <c r="O43" s="30" t="inlineStr">
        <is>
          <t>Claude (авт.)</t>
        </is>
      </c>
      <c r="P43" s="30" t="inlineStr">
        <is>
          <t>28.08.2026</t>
        </is>
      </c>
    </row>
    <row r="44" ht="78" customHeight="1" s="22">
      <c r="A44" s="28" t="n">
        <v>43</v>
      </c>
      <c r="B44" s="28" t="inlineStr">
        <is>
          <t>1.5</t>
        </is>
      </c>
      <c r="C44" s="28" t="inlineStr">
        <is>
          <t>[33]</t>
        </is>
      </c>
      <c r="D44" s="49" t="inlineStr">
        <is>
          <t>[36]</t>
        </is>
      </c>
      <c r="E44" s="29" t="n"/>
      <c r="F44" s="29" t="inlineStr">
        <is>
          <t>Изследванията върху осигуряването на качеството извеждат именно оттук необходимостта интегрирането на изкуствения интелект да бъде вградено в институционалната рамка [33] — а вграждането предполага наличието на общ инструмент, по който проверката да се извършва и документира еднакво.</t>
        </is>
      </c>
      <c r="G44" s="29" t="inlineStr">
        <is>
          <t>Извод</t>
        </is>
      </c>
      <c r="H44" s="29" t="inlineStr">
        <is>
          <t>Дали [33] извежда необходимостта интегрирането да бъде вградено в институционалната рамка. Втората част след тирето е авторска — да остане извън цитата.</t>
        </is>
      </c>
      <c r="I44" s="32" t="inlineStr">
        <is>
          <t>Висок</t>
        </is>
      </c>
      <c r="J44" s="30" t="inlineStr">
        <is>
          <t>Потвърдено</t>
        </is>
      </c>
      <c r="K44" s="30" t="inlineStr">
        <is>
          <t>[33] Warren и кол., QAE 34(2)</t>
        </is>
      </c>
      <c r="L44" s="48" t="inlineStr">
        <is>
          <t>https://www.emerald.com/qae/article/34/2/205/1302250/Enhancing-quality-assurance-through-strategic</t>
        </is>
      </c>
      <c r="M44" s="49" t="inlineStr">
        <is>
          <t>Статията предлага петстъпков модел за внедряване: оценка на възможностите за подобряване на качеството, анализ на ИИ капацитета и стратегическо планиране, стратегия с отчитане на риска, поетапно внедряване с мониторинг на качеството и непрекъснато усъвършенстване.</t>
        </is>
      </c>
      <c r="N44" s="30" t="inlineStr">
        <is>
          <t>Необходимостта от вграждане в институционалната рамка се потвърждава.</t>
        </is>
      </c>
      <c r="O44" s="30" t="inlineStr">
        <is>
          <t>Claude (авт.)</t>
        </is>
      </c>
      <c r="P44" s="30" t="inlineStr">
        <is>
          <t>28.08.2026</t>
        </is>
      </c>
    </row>
    <row r="45" ht="78" customHeight="1" s="22">
      <c r="A45" s="28" t="n">
        <v>44</v>
      </c>
      <c r="B45" s="28" t="inlineStr">
        <is>
          <t>1.5</t>
        </is>
      </c>
      <c r="C45" s="28" t="inlineStr">
        <is>
          <t>[16]</t>
        </is>
      </c>
      <c r="D45" s="49" t="inlineStr">
        <is>
          <t>[17]</t>
        </is>
      </c>
      <c r="E45" s="29" t="n"/>
      <c r="F45" s="29" t="inlineStr">
        <is>
          <t>Отговорът на литературата не е отказ от инструментите, а отговорно използване: ясни институционални правила, прозрачност и деклариране на употребата, запазване на човешката отговорност за крайния продукт и системна проверка на генерираното съдържание преди то да достигне до обучаемите [16].</t>
        </is>
      </c>
      <c r="G45" s="29" t="inlineStr">
        <is>
          <t>Списък</t>
        </is>
      </c>
      <c r="H45" s="29" t="inlineStr">
        <is>
          <t>Четирите елемента на отговорното използване — институционални правила, прозрачност, човешка отговорност, системна проверка.</t>
        </is>
      </c>
      <c r="I45" s="28" t="inlineStr">
        <is>
          <t>Среден</t>
        </is>
      </c>
      <c r="J45" s="30" t="inlineStr">
        <is>
          <t>Частично потвърдено</t>
        </is>
      </c>
      <c r="K45" s="30" t="inlineStr">
        <is>
          <t>[16] — без промяна на източника</t>
        </is>
      </c>
      <c r="L45" s="48" t="inlineStr">
        <is>
          <t>https://opus.bibliothek.uni-augsburg.de/opus4/files/109030/109030.pdf</t>
        </is>
      </c>
      <c r="M45" s="49" t="inlineStr">
        <is>
          <t>„Integrity requires transparency mechanisms that enable users to comprehend the model's output, and the data and assumptions used to generate it.“ / „Use of the model in conjunction with human expertise, e.g., teachers or subject matter experts, who review and validate the information provided.“</t>
        </is>
      </c>
      <c r="N45" s="30" t="inlineStr">
        <is>
          <t>НАНЕСЕНО В НИП 29.08: премахнато е изречението „Към тях настоящата работа добавя…“. В НИП не се добавят авторски допълнения към чужд източник — остава само това, което литературата казва.</t>
        </is>
      </c>
      <c r="O45" s="30" t="inlineStr">
        <is>
          <t>Claude (авт.)</t>
        </is>
      </c>
      <c r="P45" s="30" t="inlineStr">
        <is>
          <t>29.08.2026</t>
        </is>
      </c>
    </row>
    <row r="46" ht="78" customHeight="1" s="22">
      <c r="A46" s="28" t="n">
        <v>45</v>
      </c>
      <c r="B46" s="28" t="inlineStr">
        <is>
          <t>1.5</t>
        </is>
      </c>
      <c r="C46" s="28" t="inlineStr">
        <is>
          <t>[35]</t>
        </is>
      </c>
      <c r="D46" s="49" t="inlineStr">
        <is>
          <t>заменен</t>
        </is>
      </c>
      <c r="E46" s="29" t="n"/>
      <c r="F46" s="29" t="inlineStr">
        <is>
          <t>Систематичните прегледи описват този риск като част от по-широката проблематика на прекомерната зависимост [35], а предложеният в настоящата работа модел го адресира косвено: систематичната проверка на генерирания материал изисква същите професионални операции — съотнасяне с целите, проследяване на логиката, предвиждане на затрудненията — и така запазва част от професионалната стойност на процеса дори когато първоначалният текст е машинен.</t>
        </is>
      </c>
      <c r="G46" s="29" t="inlineStr">
        <is>
          <t>Приписване</t>
        </is>
      </c>
      <c r="H46" s="29" t="inlineStr">
        <is>
          <t>Цитатът покрива само първата част; останалото е авторски аргумент. Провери разположението на скобата.</t>
        </is>
      </c>
      <c r="I46" s="32" t="inlineStr">
        <is>
          <t>Висок</t>
        </is>
      </c>
      <c r="J46" s="30" t="inlineStr">
        <is>
          <t>Потвърдено</t>
        </is>
      </c>
      <c r="K46" s="30" t="inlineStr">
        <is>
          <t>Wu, Wang и Wen 2026, Acta Psychologica 266, 106874 — ЗАМЕСТИТЕЛ на [35]</t>
        </is>
      </c>
      <c r="L46" s="48" t="inlineStr">
        <is>
          <t>https://www.sciencedirect.com/science/article/pii/S000169182600675X</t>
        </is>
      </c>
      <c r="M46" s="49" t="inlineStr">
        <is>
          <t>„acceptance, superficial imitation, and excessive dependence on AI outputs“; „…avoid overreliance“.</t>
        </is>
      </c>
      <c r="N46" s="30" t="inlineStr">
        <is>
          <t>НАНЕСЕНО В НИП 29.08: изречението вече приписва риска на изследване, което наистина го документира. Премахната е и препратката към модела в следващите глави. Временен маркер [XACTA] до преномерирането.</t>
        </is>
      </c>
      <c r="O46" s="30" t="inlineStr">
        <is>
          <t>Claude (авт.)</t>
        </is>
      </c>
      <c r="P46" s="30" t="inlineStr">
        <is>
          <t>29.08.2026</t>
        </is>
      </c>
    </row>
    <row r="47" ht="78" customHeight="1" s="22">
      <c r="A47" s="28" t="n">
        <v>46</v>
      </c>
      <c r="B47" s="28" t="inlineStr">
        <is>
          <t>1.6</t>
        </is>
      </c>
      <c r="C47" s="28" t="inlineStr">
        <is>
          <t>[16]</t>
        </is>
      </c>
      <c r="D47" s="49" t="inlineStr">
        <is>
          <t>[17]</t>
        </is>
      </c>
      <c r="E47" s="29" t="n"/>
      <c r="F47" s="29" t="inlineStr">
        <is>
          <t>Устойчивото положение в образователната практика затова е функционално: отговорността за учебния материал носи изцяло човекът, който го одобрява и предоставя на обучаемите, независимо каква част от текста е генерирана [16].</t>
        </is>
      </c>
      <c r="G47" s="29" t="inlineStr">
        <is>
          <t>Нормативно твърдение</t>
        </is>
      </c>
      <c r="H47" s="29" t="inlineStr">
        <is>
          <t>Дали [16] твърди, че отговорността е изцяло на човека, който одобрява материала, или това е авторски извод.</t>
        </is>
      </c>
      <c r="I47" s="32" t="inlineStr">
        <is>
          <t>Висок</t>
        </is>
      </c>
      <c r="J47" s="30" t="inlineStr">
        <is>
          <t>Частично потвърдено</t>
        </is>
      </c>
      <c r="K47" s="30" t="inlineStr">
        <is>
          <t>[16] ИЗДАДЕНА версия</t>
        </is>
      </c>
      <c r="L47" s="48" t="inlineStr">
        <is>
          <t>https://www.sciencedirect.com/science/article/pii/S1041608023000195</t>
        </is>
      </c>
      <c r="M47" s="49" t="inlineStr">
        <is>
          <t>„the need for continuous human oversight“; „human oversight in the process is indispensable and critical for the mitigation of bias and beneficial application of large language models in education“. Твърдение кой носи отговорността липсва и в издадената версия.</t>
        </is>
      </c>
      <c r="N47" s="30" t="inlineStr">
        <is>
          <t>Издадената версия потвърждава находката. Пренаписването от 28.08 остава.</t>
        </is>
      </c>
      <c r="O47" s="30" t="inlineStr">
        <is>
          <t>Claude (авт.)</t>
        </is>
      </c>
      <c r="P47" s="30" t="inlineStr">
        <is>
          <t>29.08.2026</t>
        </is>
      </c>
    </row>
    <row r="48" ht="78" customHeight="1" s="22">
      <c r="A48" s="28" t="n">
        <v>47</v>
      </c>
      <c r="B48" s="28" t="inlineStr">
        <is>
          <t>1.6</t>
        </is>
      </c>
      <c r="C48" s="28" t="inlineStr">
        <is>
          <t>[33]</t>
        </is>
      </c>
      <c r="D48" s="49" t="inlineStr">
        <is>
          <t>[36]</t>
        </is>
      </c>
      <c r="E48" s="29" t="n"/>
      <c r="F48" s="29" t="inlineStr">
        <is>
          <t>На институционално равнище това изискване се операционализира чрез правила и процедури: изследванията върху осигуряването на качеството във висшето образование показват, че интегрирането на изкуствения интелект се управлява устойчиво тогава, когато е вградено в институционалната рамка за качество, а не е оставено на индивидуалната преценка на отделния преподавател [33].</t>
        </is>
      </c>
      <c r="G48" s="29" t="inlineStr">
        <is>
          <t>Извод</t>
        </is>
      </c>
      <c r="H48" s="29" t="inlineStr">
        <is>
          <t>Дали [33] показва именно това — устойчиво управление при вграждане в институционалната рамка.</t>
        </is>
      </c>
      <c r="I48" s="32" t="inlineStr">
        <is>
          <t>Висок</t>
        </is>
      </c>
      <c r="J48" s="30" t="inlineStr">
        <is>
          <t>Потвърдено</t>
        </is>
      </c>
      <c r="K48" s="30" t="inlineStr">
        <is>
          <t>[33] Warren и кол., QAE 34(2)</t>
        </is>
      </c>
      <c r="L48" s="48" t="inlineStr">
        <is>
          <t>https://www.emerald.com/qae/article/34/2/205/1302250/Enhancing-quality-assurance-through-strategic</t>
        </is>
      </c>
      <c r="M48" s="49" t="inlineStr">
        <is>
          <t>„Some institutions purchase advanced technologies without creating adequate implementation plans, staff training programs or evaluation metrics.“ Статията изисква институционална координация и надзор.</t>
        </is>
      </c>
      <c r="N48" s="30" t="inlineStr">
        <is>
          <t>СМЕКЧЕНО В НИП 28.08 по указание: изречението вече твърди само институционална координация — планове за внедряване, обучение на състава и показатели за оценка — което съответства точно на източника. Противопоставянето с индивидуалната преценка на преподавателя отпадна.</t>
        </is>
      </c>
      <c r="O48" s="30" t="inlineStr">
        <is>
          <t>Claude (авт.)</t>
        </is>
      </c>
      <c r="P48" s="30" t="inlineStr">
        <is>
          <t>28.08.2026</t>
        </is>
      </c>
    </row>
    <row r="49" ht="78" customHeight="1" s="22">
      <c r="A49" s="28" t="n">
        <v>48</v>
      </c>
      <c r="B49" s="28" t="inlineStr">
        <is>
          <t>1.6</t>
        </is>
      </c>
      <c r="C49" s="28" t="inlineStr">
        <is>
          <t>[18]</t>
        </is>
      </c>
      <c r="D49" s="49" t="inlineStr">
        <is>
          <t>[19]</t>
        </is>
      </c>
      <c r="E49" s="29" t="n"/>
      <c r="F49" s="29" t="inlineStr">
        <is>
          <t>То формулира човекоцентричен подход и извежда набор от политически мерки, сред които защита на човешката свобода на действие, наблюдение и валидиране на генеративните системи, изграждане на компетентности у обучаемите и преподавателите и насърчаване на приобщаването и езиковото многообразие [18].</t>
        </is>
      </c>
      <c r="G49" s="29" t="inlineStr">
        <is>
          <t>Списък мерки</t>
        </is>
      </c>
      <c r="H49" s="29" t="inlineStr">
        <is>
          <t>Четирите мерки от документа на ЮНЕСКО — човешка свобода на действие, валидиране, компетентности, приобщаване и езиково многообразие.</t>
        </is>
      </c>
      <c r="I49" s="28" t="inlineStr">
        <is>
          <t>Среден</t>
        </is>
      </c>
      <c r="J49" s="30" t="inlineStr">
        <is>
          <t>Потвърдено</t>
        </is>
      </c>
      <c r="K49" s="30" t="inlineStr">
        <is>
          <t>[18] UNESCO Guidance, 2023</t>
        </is>
      </c>
      <c r="L49" s="48" t="inlineStr">
        <is>
          <t>https://table.media/wp-content/uploads/2023/09/386693eng.pdf</t>
        </is>
      </c>
      <c r="M49" s="49" t="inlineStr">
        <is>
          <t>„Reinforce human autonomy over their own approaches to research, teaching, and learning“; „Build validation mechanisms to test whether GenAI systems used in education and research are free of biases“; „Commit to the provision of government-sanctioned AI curricula for school education“; „Develop and implement inclusive specifications for GenAI systems and implement institutional measures to protect linguistic and cultural diversities“.</t>
        </is>
      </c>
      <c r="N49" s="30" t="inlineStr">
        <is>
          <t>И четирите мерки се потвърждават дословно.</t>
        </is>
      </c>
      <c r="O49" s="30" t="inlineStr">
        <is>
          <t>Claude (авт.)</t>
        </is>
      </c>
      <c r="P49" s="30" t="inlineStr">
        <is>
          <t>28.08.2026</t>
        </is>
      </c>
    </row>
    <row r="50" ht="78" customHeight="1" s="22">
      <c r="A50" s="28" t="n">
        <v>49</v>
      </c>
      <c r="B50" s="28" t="inlineStr">
        <is>
          <t>1.6</t>
        </is>
      </c>
      <c r="C50" s="28" t="inlineStr">
        <is>
          <t>[1]</t>
        </is>
      </c>
      <c r="D50" s="49" t="inlineStr">
        <is>
          <t>[1]</t>
        </is>
      </c>
      <c r="E50" s="29" t="n"/>
      <c r="F50" s="29" t="inlineStr">
        <is>
          <t>Предложената за българските висши училища регулаторна рамка за използване на изкуствен интелект в докторантското обучение определя декларацията за употреба като задължителен документ със строго определено съдържание: наименование на използваните инструменти, целта, за която е използван всеки от тях, частите на труда, при чието изготвяне е използван, и изрично потвърждение, че интелектуалното авторство на концепцията, анализа и изводите принадлежи на автора [1].</t>
        </is>
      </c>
      <c r="G50" s="29" t="inlineStr">
        <is>
          <t>Нормативна конкретика</t>
        </is>
      </c>
      <c r="H50" s="29" t="inlineStr">
        <is>
          <t>Четирите задължителни елемента на декларацията за употреба — дословно по [1].</t>
        </is>
      </c>
      <c r="I50" s="33" t="inlineStr">
        <is>
          <t>Критичен</t>
        </is>
      </c>
      <c r="J50" s="30" t="inlineStr">
        <is>
          <t>Потвърдено</t>
        </is>
      </c>
      <c r="K50" s="30" t="inlineStr">
        <is>
          <t>2026_p-2.pdf, печ. стр. 20</t>
        </is>
      </c>
      <c r="L50" s="48" t="inlineStr">
        <is>
          <t>https://www.conf-dte.bg/docs/2026/p-2.pdf</t>
        </is>
      </c>
      <c r="M50" s="49" t="inlineStr">
        <is>
          <t>Докторантът носи пълна отговорност за съдържанието на всеки труд, независимо от степента на асистенция на ИИ и това е смисълът на принцип на неделимото авторство. Декларацията трябва да съдържа наименованието на използваните инструменти, целта, за която е използван всеки от тях, частите на труда, при чието изготвяне е използван ИИ, и изрично потвърждение, че интелектуалното</t>
        </is>
      </c>
      <c r="N50" s="30" t="inlineStr">
        <is>
          <t>Четирите елемента са изброени почти дословно. Единствена разлика: източникът пише „принадлежи на докторанта“, НИП обобщава до „на автора“ — рамката е само за ОНС „доктор“, уточни го. || НАНЕСЕНО В НИП 28.08: „на автора“ стана „на докторанта“.</t>
        </is>
      </c>
      <c r="O50" s="30" t="inlineStr">
        <is>
          <t>Claude (авт.)</t>
        </is>
      </c>
      <c r="P50" s="30" t="inlineStr">
        <is>
          <t>28.08.2026</t>
        </is>
      </c>
    </row>
    <row r="51" ht="78" customHeight="1" s="22">
      <c r="A51" s="28" t="n">
        <v>50</v>
      </c>
      <c r="B51" s="28" t="inlineStr">
        <is>
          <t>1.6</t>
        </is>
      </c>
      <c r="C51" s="28" t="inlineStr">
        <is>
          <t>[31]</t>
        </is>
      </c>
      <c r="D51" s="49" t="inlineStr">
        <is>
          <t>[34]</t>
        </is>
      </c>
      <c r="E51" s="29" t="n"/>
      <c r="F51" s="29" t="inlineStr">
        <is>
          <t>Регламентът на Европейския съюз за изкуствения интелект — първата хоризонтална правна уредба на ИИ — въвежда степенуван по риск подход към системите с изкуствен интелект и изрични задължения за прозрачност, включително по отношение на съдържание, създадено или манипулирано с генеративни системи [31].</t>
        </is>
      </c>
      <c r="G51" s="29" t="inlineStr">
        <is>
          <t>Правен акт</t>
        </is>
      </c>
      <c r="H51" s="29" t="inlineStr">
        <is>
          <t>„първата хоризонтална уредба“, степенуваният по риск подход и задълженията за прозрачност при генерирано съдържание. Добави препратка към конкретния член (чл. 50).</t>
        </is>
      </c>
      <c r="I51" s="32" t="inlineStr">
        <is>
          <t>Висок</t>
        </is>
      </c>
      <c r="J51" s="30" t="inlineStr">
        <is>
          <t>Потвърдено</t>
        </is>
      </c>
      <c r="K51" s="30" t="inlineStr">
        <is>
          <t>Регламент (ЕС) 2024/1689, чл. 50</t>
        </is>
      </c>
      <c r="L51" s="48" t="inlineStr">
        <is>
          <t>https://artificialintelligenceact.eu/article/50/</t>
        </is>
      </c>
      <c r="M51" s="49" t="inlineStr">
        <is>
          <t>Чл. 50: изходът трябва да бъде „marked in a machine-readable format and detectable as artificially generated or manipulated“; разполагащите субекти разкриват, „that the content has been artificially generated or manipulated“.</t>
        </is>
      </c>
      <c r="N51" s="30" t="inlineStr">
        <is>
          <t>НАНЕСЕНО В НИП 28.08: добавена е изрична препратка към чл. 50 и към изискването за машинночетимо маркиране.</t>
        </is>
      </c>
      <c r="O51" s="30" t="inlineStr">
        <is>
          <t>Claude (авт.)</t>
        </is>
      </c>
      <c r="P51" s="30" t="inlineStr">
        <is>
          <t>28.08.2026</t>
        </is>
      </c>
    </row>
    <row r="52" ht="78" customHeight="1" s="22">
      <c r="A52" s="28" t="n">
        <v>51</v>
      </c>
      <c r="B52" s="28" t="inlineStr">
        <is>
          <t>1.6</t>
        </is>
      </c>
      <c r="C52" s="28" t="inlineStr">
        <is>
          <t>[9]</t>
        </is>
      </c>
      <c r="D52" s="49" t="inlineStr">
        <is>
          <t>[9]</t>
        </is>
      </c>
      <c r="E52" s="29" t="n"/>
      <c r="F52" s="29" t="inlineStr">
        <is>
          <t>Анализите на приложението на изкуствения интелект в българската образователна система формулират като първо условие за отговорно внедряване наличието на ясна национална рамка с етични стандарти, механизми за защита на личните данни и критерии за оценка на ефективността, следвана от системно развитие на компетентността на преподавателите — не само техническа, но и етична [9].</t>
        </is>
      </c>
      <c r="G52" s="29" t="inlineStr">
        <is>
          <t>Списък условия</t>
        </is>
      </c>
      <c r="H52" s="29" t="inlineStr">
        <is>
          <t>Национална рамка с етични стандарти, защита на данните, критерии за ефективност; развитие на компетентността.</t>
        </is>
      </c>
      <c r="I52" s="28" t="inlineStr">
        <is>
          <t>Среден</t>
        </is>
      </c>
      <c r="J52" s="30" t="inlineStr">
        <is>
          <t>Потвърдено</t>
        </is>
      </c>
      <c r="K52" s="30" t="inlineStr">
        <is>
          <t>2025_p-84.pdf, печ. стр. 476</t>
        </is>
      </c>
      <c r="L52" s="48" t="inlineStr">
        <is>
          <t>https://www.conf-dte.bg/docs/2025/p-84.pdf</t>
        </is>
      </c>
      <c r="M52" s="49" t="inlineStr">
        <is>
          <t>бъдат очертани няколко важни насоки, които да подпомогнат педагогическата адаптация и интеграцията на ИИ. На първо място, трябва да има ясна национална рамка за използване на ИИ в образованието [21]. Тя трябва да включва етични стандарти, механизми за защита на личните данни и критерии за оценка на ефективността. Такава рамка</t>
        </is>
      </c>
      <c r="N52" s="30" t="inlineStr">
        <is>
          <t>Дословно: „трябва да има ясна национална рамка за използване на ИИ в образованието. Тя трябва да включва етични стандарти, механизми за защита на личните данни и критерии за оценка на ефективността.“ Компетентността е на същата страница. ЗАБЕЛЕЖКА: Дуцова сама препраща към свой източник [21] за това условие — трето поред вторично цитиране в българската група.</t>
        </is>
      </c>
      <c r="O52" s="30" t="inlineStr">
        <is>
          <t>Claude (авт.)</t>
        </is>
      </c>
      <c r="P52" s="30" t="inlineStr">
        <is>
          <t>28.08.2026</t>
        </is>
      </c>
    </row>
    <row r="53" ht="78" customHeight="1" s="22">
      <c r="A53" s="28" t="n">
        <v>52</v>
      </c>
      <c r="B53" s="28" t="inlineStr">
        <is>
          <t>1.6</t>
        </is>
      </c>
      <c r="C53" s="28" t="inlineStr">
        <is>
          <t>[16]</t>
        </is>
      </c>
      <c r="D53" s="49" t="inlineStr">
        <is>
          <t>[17]</t>
        </is>
      </c>
      <c r="E53" s="29" t="n"/>
      <c r="F53" s="29" t="inlineStr">
        <is>
          <t>В европейския контекст това изискване има и правно измерение чрез режима за защита на личните данни, който поставя строги условия за обработването им от трети страни [16].</t>
        </is>
      </c>
      <c r="G53" s="29" t="inlineStr">
        <is>
          <t>Правно твърдение</t>
        </is>
      </c>
      <c r="H53" s="29" t="inlineStr">
        <is>
          <t>Дали [16] съдържа твърдение за режима за защита на личните данни и обработването от трети страни. Ако не — нужен е правен източник.</t>
        </is>
      </c>
      <c r="I53" s="32" t="inlineStr">
        <is>
          <t>Висок</t>
        </is>
      </c>
      <c r="J53" s="30" t="inlineStr">
        <is>
          <t>Частично потвърдено</t>
        </is>
      </c>
      <c r="K53" s="30" t="inlineStr">
        <is>
          <t>[16] ИЗДАДЕНА версия, раздел 4.8 „Data privacy and security“</t>
        </is>
      </c>
      <c r="L53" s="48" t="inlineStr">
        <is>
          <t>https://www.sciencedirect.com/science/article/pii/S1041608023000195</t>
        </is>
      </c>
      <c r="M53" s="49" t="inlineStr">
        <is>
          <t>„Development and implementation of robust data privacy and security policies that clearly outline the collection, storage, and use of student data in compliance with regulation (e.g., GDPR, HIPAA, FERPA)“. Изразът „third parties“ не се среща в текста.</t>
        </is>
      </c>
      <c r="N53" s="30" t="inlineStr">
        <is>
          <t>Издадената версия потвърждава находката. Пренаписването от 28.08 остава.</t>
        </is>
      </c>
      <c r="O53" s="30" t="inlineStr">
        <is>
          <t>Claude (авт.)</t>
        </is>
      </c>
      <c r="P53" s="30" t="inlineStr">
        <is>
          <t>29.08.2026</t>
        </is>
      </c>
    </row>
    <row r="54" ht="78" customHeight="1" s="22">
      <c r="A54" s="28" t="n">
        <v>53</v>
      </c>
      <c r="B54" s="28" t="inlineStr">
        <is>
          <t>1.6</t>
        </is>
      </c>
      <c r="C54" s="28" t="inlineStr">
        <is>
          <t>[16]</t>
        </is>
      </c>
      <c r="D54" s="49" t="inlineStr">
        <is>
          <t>[17]</t>
        </is>
      </c>
      <c r="E54" s="29" t="n"/>
      <c r="F54" s="29" t="inlineStr">
        <is>
          <t>И в двата случая принципът е един: добросъвестността не изисква отказ от инструментите, а отчетена, проверена и почтено декларирана употреба [16].</t>
        </is>
      </c>
      <c r="G54" s="29" t="inlineStr">
        <is>
          <t>Обобщение</t>
        </is>
      </c>
      <c r="H54" s="29" t="inlineStr">
        <is>
          <t>Обобщаващо изречение — провери дали не надхвърля източника.</t>
        </is>
      </c>
      <c r="I54" s="28" t="inlineStr">
        <is>
          <t>Нисък</t>
        </is>
      </c>
      <c r="J54" s="30" t="inlineStr">
        <is>
          <t>Потвърдено</t>
        </is>
      </c>
      <c r="K54" s="30" t="inlineStr">
        <is>
          <t>[16] — пълен текст</t>
        </is>
      </c>
      <c r="L54" s="48" t="inlineStr">
        <is>
          <t>https://opus.bibliothek.uni-augsburg.de/opus4/files/109030/109030.pdf</t>
        </is>
      </c>
      <c r="M54" s="49" t="inlineStr">
        <is>
          <t>Виж извадките към редове 39, 44 и 46.</t>
        </is>
      </c>
      <c r="N54" s="30" t="inlineStr">
        <is>
          <t>Обобщаващо изречение, съгласувано с редове 39 и 44 след корекциите. Не надхвърля източника.</t>
        </is>
      </c>
      <c r="O54" s="30" t="inlineStr">
        <is>
          <t>Claude (авт.)</t>
        </is>
      </c>
      <c r="P54" s="30" t="inlineStr">
        <is>
          <t>28.08.2026</t>
        </is>
      </c>
    </row>
    <row r="55" ht="78" customHeight="1" s="22">
      <c r="A55" s="28" t="n">
        <v>54</v>
      </c>
      <c r="B55" s="28" t="inlineStr">
        <is>
          <t>1.7</t>
        </is>
      </c>
      <c r="C55" s="28" t="inlineStr">
        <is>
          <t>[21]; [30]</t>
        </is>
      </c>
      <c r="D55" s="49" t="inlineStr">
        <is>
          <t>заменен; заменен</t>
        </is>
      </c>
      <c r="E55" s="29" t="inlineStr">
        <is>
          <t>гл. 21</t>
        </is>
      </c>
      <c r="F55" s="29" t="inlineStr">
        <is>
          <t>Съдържателната основа на тези критерии са установените педагогически и дизайнерски принципи: сравнителният анализ на ръководни документи за качество от различни образователни контексти показва, че те систематизират до голяма степен едни и същи изисквания за педагогическа издържаност и визуална организация [21], а доказателствено обоснованите принципи на мултимедийното учене предоставят емпирично проверена база, върху която такива критерии могат да стъпят [30, гл. 21].</t>
        </is>
      </c>
      <c r="G55" s="29" t="inlineStr">
        <is>
          <t>Двоен цитат + локатор</t>
        </is>
      </c>
      <c r="H55" s="29" t="inlineStr">
        <is>
          <t>Две отделни проверки: [21] за общността на изискванията и [30, гл. 21] за емпиричната база. Провери дали 5-о изд. изобщо има гл. 21.</t>
        </is>
      </c>
      <c r="I55" s="32" t="inlineStr">
        <is>
          <t>Висок</t>
        </is>
      </c>
      <c r="J55" s="30" t="inlineStr">
        <is>
          <t>Потвърдено</t>
        </is>
      </c>
      <c r="K55" s="30" t="inlineStr">
        <is>
          <t>Mayer 2021, JARMAC — ЗАМЕСТИТЕЛ на [30, гл. 21]</t>
        </is>
      </c>
      <c r="L55" s="48" t="inlineStr">
        <is>
          <t>https://www.sciencedirect.com/science/article/pii/S2211368121000231</t>
        </is>
      </c>
      <c r="M55" s="49" t="inlineStr">
        <is>
          <t>„this article examines evidence-based principles for how to design effective instructional videos and shows how they are grounded in cognitive theories of learning and instruction“; изведени са 14 принципа с посочени размери на ефекта.</t>
        </is>
      </c>
      <c r="N55" s="30" t="inlineStr">
        <is>
          <t>Емпирично обоснованата база за критерии се покрива. Готово за замяна.</t>
        </is>
      </c>
      <c r="O55" s="30" t="inlineStr">
        <is>
          <t>Claude (авт.)</t>
        </is>
      </c>
      <c r="P55" s="30" t="inlineStr">
        <is>
          <t>29.08.2026</t>
        </is>
      </c>
    </row>
    <row r="56" ht="78" customHeight="1" s="22">
      <c r="A56" s="28" t="n">
        <v>55</v>
      </c>
      <c r="B56" s="28" t="inlineStr">
        <is>
          <t>1.7</t>
        </is>
      </c>
      <c r="C56" s="28" t="inlineStr">
        <is>
          <t>[29]</t>
        </is>
      </c>
      <c r="D56" s="49" t="inlineStr">
        <is>
          <t>[32]</t>
        </is>
      </c>
      <c r="E56" s="29" t="n"/>
      <c r="F56" s="29" t="inlineStr">
        <is>
          <t>Показателен пример е рубриката на Quality Matters за висшето образование, чието седмо издание съдържа осем общи стандарта, разгърнати в четиридесет и четири конкретни ревизионни стандарта, и се прилага чрез структуриран колегиален преглед [29].</t>
        </is>
      </c>
      <c r="G56" s="29" t="inlineStr">
        <is>
          <t>Точни числа</t>
        </is>
      </c>
      <c r="H56" s="29" t="inlineStr">
        <is>
          <t>7-о издание на рубриката: осем общи стандарта и четиридесет и четири конкретни ревизионни стандарта. В по-ранни издания броят е различен.</t>
        </is>
      </c>
      <c r="I56" s="33" t="inlineStr">
        <is>
          <t>Критичен</t>
        </is>
      </c>
      <c r="J56" s="30" t="inlineStr">
        <is>
          <t>Потвърдено</t>
        </is>
      </c>
      <c r="K56" s="30" t="inlineStr">
        <is>
          <t>QM HE Rubric, 7-о изд.</t>
        </is>
      </c>
      <c r="L56" s="48" t="inlineStr">
        <is>
          <t>https://educationaldevelopment.uams.edu/qualitymatters/qm-rubric</t>
        </is>
      </c>
      <c r="M56" s="49" t="inlineStr">
        <is>
          <t>„This rubric is structured around 8 General Standards and 44 Specific Review Standards.“ (7-о издание; макс. 101 точки, 22 съществени стандарта)</t>
        </is>
      </c>
      <c r="N56" s="30" t="inlineStr">
        <is>
          <t>Потвърдено дословно: 8 общи стандарта и 44 конкретни ревизионни стандарта. (Макс. 101 точки; 22 съществени стандарта и 86 точки за сертификация.)</t>
        </is>
      </c>
      <c r="O56" s="30" t="inlineStr">
        <is>
          <t>Claude (авт.)</t>
        </is>
      </c>
      <c r="P56" s="30" t="inlineStr">
        <is>
          <t>28.08.2026</t>
        </is>
      </c>
    </row>
    <row r="57" ht="78" customHeight="1" s="22">
      <c r="A57" s="28" t="n">
        <v>56</v>
      </c>
      <c r="B57" s="28" t="inlineStr">
        <is>
          <t>1.7</t>
        </is>
      </c>
      <c r="C57" s="28" t="inlineStr">
        <is>
          <t>[32]</t>
        </is>
      </c>
      <c r="D57" s="49" t="inlineStr">
        <is>
          <t>[35]</t>
        </is>
      </c>
      <c r="E57" s="29" t="n"/>
      <c r="F57" s="29" t="inlineStr">
        <is>
          <t>В най-новата литература този подход достига зрялост под формата на валидирани скали за акредитационни стандарти и осигуряване на качеството в институциите за електронно обучение [32].</t>
        </is>
      </c>
      <c r="G57" s="29" t="inlineStr">
        <is>
          <t>Обобщение</t>
        </is>
      </c>
      <c r="H57" s="29" t="inlineStr">
        <is>
          <t>Дали [32] представя валидирана скала за акредитационни стандарти в институции за електронно обучение.</t>
        </is>
      </c>
      <c r="I57" s="28" t="inlineStr">
        <is>
          <t>Среден</t>
        </is>
      </c>
      <c r="J57" s="30" t="inlineStr">
        <is>
          <t>Потвърдено</t>
        </is>
      </c>
      <c r="K57" s="30" t="inlineStr">
        <is>
          <t>[32] Ramezani и Mostafavi, EAIT 30(15)</t>
        </is>
      </c>
      <c r="L57" s="48" t="inlineStr">
        <is>
          <t>https://link.springer.com/article/10.1007/s10639-025-13587-5</t>
        </is>
      </c>
      <c r="M57" s="49" t="inlineStr">
        <is>
          <t>„The resulting tool comprises 87 items across 46 criteria within five core dimensions: organization, research, technology, teaching–learning, and support.“ Валидирана чрез CVI 0,88, потвърждаващ факторен анализ, Cronbach's alpha и CR над 0,70.</t>
        </is>
      </c>
      <c r="N57" s="30" t="inlineStr">
        <is>
          <t>Валидираната скала се потвърждава. Можеш да добавиш конкретиката — 87 елемента в 46 критерия и пет измерения.</t>
        </is>
      </c>
      <c r="O57" s="30" t="inlineStr">
        <is>
          <t>Claude (авт.)</t>
        </is>
      </c>
      <c r="P57" s="30" t="inlineStr">
        <is>
          <t>28.08.2026</t>
        </is>
      </c>
    </row>
    <row r="58" ht="78" customHeight="1" s="22">
      <c r="A58" s="28" t="n">
        <v>57</v>
      </c>
      <c r="B58" s="28" t="inlineStr">
        <is>
          <t>1.7</t>
        </is>
      </c>
      <c r="C58" s="28" t="inlineStr">
        <is>
          <t>[26]</t>
        </is>
      </c>
      <c r="D58" s="49" t="inlineStr">
        <is>
          <t>[28]</t>
        </is>
      </c>
      <c r="E58" s="29" t="n"/>
      <c r="F58" s="29" t="inlineStr">
        <is>
          <t>Основополагащото изследване в тази област установява, че водещите езикови модели съвпадат с човешката преценка в над 80 на сто от случаите, като за най-силния модел съвпадението достига около 85 на сто — стойност, надхвърляща съгласуваността между самите човешки оценители, която е около 81 на сто [26].</t>
        </is>
      </c>
      <c r="G58" s="29" t="inlineStr">
        <is>
          <t>Три числа</t>
        </is>
      </c>
      <c r="H58" s="29" t="inlineStr">
        <is>
          <t>Над 80 % съвпадение; ~85 % за най-силния модел; ~81 % съгласуваност между хора. И трите — дословно, и с уточнение при кои условия.</t>
        </is>
      </c>
      <c r="I58" s="33" t="inlineStr">
        <is>
          <t>Критичен</t>
        </is>
      </c>
      <c r="J58" s="30" t="inlineStr">
        <is>
          <t>Потвърдено</t>
        </is>
      </c>
      <c r="K58" s="30" t="inlineStr">
        <is>
          <t>arXiv:2306.05685, раздел за съгласуваността (MT-Bench, setup S2)</t>
        </is>
      </c>
      <c r="L58" s="48" t="inlineStr">
        <is>
          <t>https://arxiv.org/html/2306.05685v4</t>
        </is>
      </c>
      <c r="M58" s="49" t="inlineStr">
        <is>
          <t>„The agreement under setup S2 (w/o tie) between GPT-4 and humans reaches 85%, which is even higher than the agreement among humans (81%).“ Абстракт: „achieving over 80% agreement“.</t>
        </is>
      </c>
      <c r="N58" s="30" t="inlineStr">
        <is>
          <t>Потвърдено дословно, включително „надхвърляща“: „The agreement under setup S2 (w/o tie) between GPT-4 and humans reaches 85%, which is even higher than the agreement among humans (81%).“ И трите числа са верни. ЕДНО УТОЧНЕНИЕ: стойностите важат при сравнение по двойки без допускане на равенство (setup S2). Добави условието в изречението, иначе числата изглеждат общовалидни.</t>
        </is>
      </c>
      <c r="O58" s="30" t="inlineStr">
        <is>
          <t>Claude (авт.)</t>
        </is>
      </c>
      <c r="P58" s="30" t="inlineStr">
        <is>
          <t>28.08.2026</t>
        </is>
      </c>
    </row>
    <row r="59" ht="78" customHeight="1" s="22">
      <c r="A59" s="28" t="n">
        <v>58</v>
      </c>
      <c r="B59" s="28" t="inlineStr">
        <is>
          <t>1.7</t>
        </is>
      </c>
      <c r="C59" s="28" t="inlineStr">
        <is>
          <t>[13]</t>
        </is>
      </c>
      <c r="D59" s="49" t="inlineStr">
        <is>
          <t>[14]</t>
        </is>
      </c>
      <c r="E59" s="29" t="n"/>
      <c r="F59" s="29" t="inlineStr">
        <is>
          <t>Систематичният преглед на полето подрежда натрупаните подходи по три оси — какво се оценява, как се оценява и как се измерва самото качество на оценяването — и документира приложението им в широк кръг задачи [13].</t>
        </is>
      </c>
      <c r="G59" s="29" t="inlineStr">
        <is>
          <t>Структура</t>
        </is>
      </c>
      <c r="H59" s="29" t="inlineStr">
        <is>
          <t>Трите оси на систематизацията — какво, как и как се измерва качеството на оценяването.</t>
        </is>
      </c>
      <c r="I59" s="28" t="inlineStr">
        <is>
          <t>Среден</t>
        </is>
      </c>
      <c r="J59" s="30" t="inlineStr">
        <is>
          <t>Частично потвърдено</t>
        </is>
      </c>
      <c r="K59" s="30" t="inlineStr">
        <is>
          <t>[13] — arXiv HTML v5</t>
        </is>
      </c>
      <c r="L59" s="48" t="inlineStr">
        <is>
          <t>https://arxiv.org/html/2411.16594v5</t>
        </is>
      </c>
      <c r="M59" s="49" t="inlineStr">
        <is>
          <t>Осите на прегледа са „what to judge“, „how to judge“ и „where to judge“ (приложения), а не „как се измерва качеството на оценяването“.</t>
        </is>
      </c>
      <c r="N59" s="30" t="inlineStr">
        <is>
          <t>Първите две оси съвпадат. Третата в източника е „where to judge“ — къде се прилага оценяването, а не как се измерва качеството му. НАНЕСЕНО В НИП 28.08: третата ос е поправена на „къде се прилага оценяването“.</t>
        </is>
      </c>
      <c r="O59" s="30" t="inlineStr">
        <is>
          <t>Claude (авт.)</t>
        </is>
      </c>
      <c r="P59" s="30" t="inlineStr">
        <is>
          <t>28.08.2026</t>
        </is>
      </c>
    </row>
    <row r="60" ht="78" customHeight="1" s="22">
      <c r="A60" s="28" t="n">
        <v>59</v>
      </c>
      <c r="B60" s="28" t="inlineStr">
        <is>
          <t>1.7</t>
        </is>
      </c>
      <c r="C60" s="28" t="inlineStr">
        <is>
          <t>[13]</t>
        </is>
      </c>
      <c r="D60" s="49" t="inlineStr">
        <is>
          <t>[14]</t>
        </is>
      </c>
      <c r="E60" s="29" t="n"/>
      <c r="F60" s="29" t="inlineStr">
        <is>
          <t>Систематизациите на полето документират устойчиви отклонения в преценката на моделите-оценители: предпочитание към по-дълги отговори, чувствителност към реда на представяне на сравняваните текстове, склонност към по-висока оценка на собствения им изход и ограничена надеждност при задачи, изискващи предметна експертиза отвъд езиковата компетентност [13].</t>
        </is>
      </c>
      <c r="G60" s="29" t="inlineStr">
        <is>
          <t>Списък отклонения</t>
        </is>
      </c>
      <c r="H60" s="29" t="inlineStr">
        <is>
          <t>Четирите отклонения — дължина, ред на представяне, самопредпочитание, предметна експертиза.</t>
        </is>
      </c>
      <c r="I60" s="32" t="inlineStr">
        <is>
          <t>Висок</t>
        </is>
      </c>
      <c r="J60" s="30" t="inlineStr">
        <is>
          <t>Потвърдено</t>
        </is>
      </c>
      <c r="K60" s="30" t="inlineStr">
        <is>
          <t>[13] — arXiv HTML v5</t>
        </is>
      </c>
      <c r="L60" s="48" t="inlineStr">
        <is>
          <t>https://arxiv.org/html/2411.16594v5</t>
        </is>
      </c>
      <c r="M60" s="49" t="inlineStr">
        <is>
          <t>Документирани отклонения: position sensitivity (предпочитание по реда), length preference — „longer or shorter responses regardless of quality“, self-preference, и затруднение при „subtle attributes“ / „domain-specific reliability issues“.</t>
        </is>
      </c>
      <c r="N60" s="30" t="inlineStr">
        <is>
          <t>И четирите отклонения се потвърждават (виж извадката).</t>
        </is>
      </c>
      <c r="O60" s="30" t="inlineStr">
        <is>
          <t>Claude (авт.)</t>
        </is>
      </c>
      <c r="P60" s="30" t="inlineStr">
        <is>
          <t>28.08.2026</t>
        </is>
      </c>
    </row>
    <row r="61" ht="78" customHeight="1" s="22">
      <c r="A61" s="28" t="n">
        <v>60</v>
      </c>
      <c r="B61" s="28" t="inlineStr">
        <is>
          <t>1.7</t>
        </is>
      </c>
      <c r="C61" s="28" t="inlineStr">
        <is>
          <t>[10]</t>
        </is>
      </c>
      <c r="D61" s="49" t="inlineStr">
        <is>
          <t>[10]</t>
        </is>
      </c>
      <c r="E61" s="29" t="n"/>
      <c r="F61" s="29" t="inlineStr">
        <is>
          <t>Още по-съществено за настоящата работа е установеното при многоезичните приложения: от над 650 публикации по темата едва тридесет и три разглеждат многоезични или нискоресурсни езикови условия, а техните резултати са непоследователни, преобладава прекомерното доверие в машинната преценка и почти навсякъде се използва единствен модел-оценител без независима човешка проверка [10].</t>
        </is>
      </c>
      <c r="G61" s="29" t="inlineStr">
        <is>
          <t>Числа</t>
        </is>
      </c>
      <c r="H61" s="29" t="inlineStr">
        <is>
          <t>„над 650 публикации“ и „едва тридесет и три“ многоезични. Първо потвърди, че самият източник съществува (запис без автор).</t>
        </is>
      </c>
      <c r="I61" s="33" t="inlineStr">
        <is>
          <t>Критичен</t>
        </is>
      </c>
      <c r="J61" s="30" t="inlineStr">
        <is>
          <t>Частично потвърдено</t>
        </is>
      </c>
      <c r="K61" s="30" t="inlineStr">
        <is>
          <t>arXiv:2607.02235 — абстракт и находки</t>
        </is>
      </c>
      <c r="L61" s="48" t="inlineStr">
        <is>
          <t>https://arxiv.org/html/2607.02235v1</t>
        </is>
      </c>
      <c r="M61" s="49" t="inlineStr">
        <is>
          <t>„48% of the papers rely on a single judge model family and 33% use GPT as the sole judge.“ От 650 публикации 33 се отнасят до многоезични или нискоресурсни условия.</t>
        </is>
      </c>
      <c r="N61" s="30" t="inlineStr">
        <is>
          <t>650 публикации и 33 многоезични се потвърждават точно. НО „почти навсякъде се използва единствен модел-оценител“ е по-силно от източника: 48 % разчитат на едно семейство модели, 33 % използват GPT като единствен оценител. ДЕЙСТВИЕ: замени с конкретните проценти. || НАНЕСЕНО В НИП 28.08: „почти навсякъде“ е заменено с 48 на сто едно семейство модели и 33 на сто единствен модел.</t>
        </is>
      </c>
      <c r="O61" s="30" t="inlineStr">
        <is>
          <t>Claude (авт.)</t>
        </is>
      </c>
      <c r="P61" s="30" t="inlineStr">
        <is>
          <t>28.08.2026</t>
        </is>
      </c>
    </row>
    <row r="62" ht="78" customHeight="1" s="22">
      <c r="A62" s="28" t="n">
        <v>61</v>
      </c>
      <c r="B62" s="28" t="inlineStr">
        <is>
          <t>1.7</t>
        </is>
      </c>
      <c r="C62" s="28" t="inlineStr">
        <is>
          <t>[7]</t>
        </is>
      </c>
      <c r="D62" s="49" t="inlineStr">
        <is>
          <t>[7]</t>
        </is>
      </c>
      <c r="E62" s="29" t="n"/>
      <c r="F62" s="29" t="inlineStr">
        <is>
          <t>Изследване върху проблемите и решенията при използването на генеративен изкуствен интелект в образованието извежда на преден план потребността от методики и инструменти за оценяване на качеството на генерираното учебно съдържание и посочва тревожни данни за него — според цитирано проучване едва около една шеста от генерираното съдържание отговаря на поставените критерии за качество [7].</t>
        </is>
      </c>
      <c r="G62" s="29" t="inlineStr">
        <is>
          <t>Вторично число</t>
        </is>
      </c>
      <c r="H62" s="29" t="inlineStr">
        <is>
          <t>„около една шеста от генерираното съдържание“ — проследи до първоизточника, който [7] цитира, и цитирай него или посочи изрично вторичността.</t>
        </is>
      </c>
      <c r="I62" s="33" t="inlineStr">
        <is>
          <t>Критичен</t>
        </is>
      </c>
      <c r="J62" s="30" t="inlineStr">
        <is>
          <t>Частично потвърдено</t>
        </is>
      </c>
      <c r="K62" s="30" t="inlineStr">
        <is>
          <t>генеративен ИИ (Педагогика), печ. стр. 1290</t>
        </is>
      </c>
      <c r="L62" s="48" t="inlineStr">
        <is>
          <t>https://journals.azbuki.bg/pedagogy/generativen-izkustven-intelekt-v-obrazovanieto-problemi-i-reseniya/view</t>
        </is>
      </c>
      <c r="M62" s="49" t="inlineStr">
        <is>
          <t>следвания разкриват значителна загриженост сред висшите училища по отно- шение на достоверността и качеството на генерираното съдържание. Според резултати на едно такова изследване едва 16% от генерираното съдържание отговаря на поставените критерии за качество (Peláez-Sánchez 2024). Пред- ставената информация трябва да бъде достоверна, релевантна, четлива, да не</t>
        </is>
      </c>
      <c r="N62" s="30" t="inlineStr">
        <is>
          <t>Източникът пише „едва 16 % от генерираното съдържание отговаря на поставените критерии за качество (Peláez-Sánchez 2024)“. Потвърждава се вторичността. ДЕЙСТВИЕ: замени „около една шеста“ с „16 %“ и цитирай Peláez-Sánchez 2024 или изрично посочи, че данните са цитирани в [7]. || НАНЕСЕНО В НИП 28.08: „около една шеста“ стана „шестнадесет на сто“, добавено е „цитирано в него“.</t>
        </is>
      </c>
      <c r="O62" s="30" t="inlineStr">
        <is>
          <t>Claude (авт.)</t>
        </is>
      </c>
      <c r="P62" s="30" t="inlineStr">
        <is>
          <t>28.08.2026</t>
        </is>
      </c>
    </row>
    <row r="63" ht="78" customHeight="1" s="22">
      <c r="A63" s="28" t="n">
        <v>62</v>
      </c>
      <c r="B63" s="28" t="inlineStr">
        <is>
          <t>1.7</t>
        </is>
      </c>
      <c r="C63" s="28" t="inlineStr">
        <is>
          <t>[13]</t>
        </is>
      </c>
      <c r="D63" s="49" t="inlineStr">
        <is>
          <t>[14]</t>
        </is>
      </c>
      <c r="E63" s="29" t="n"/>
      <c r="F63" s="29" t="inlineStr">
        <is>
          <t>Систематизациите на автоматизираното оценяване извеждат същите два въпроса и по отношение на машинните оценители [13].</t>
        </is>
      </c>
      <c r="G63" s="29" t="inlineStr">
        <is>
          <t>Обобщение</t>
        </is>
      </c>
      <c r="H63" s="29" t="inlineStr">
        <is>
          <t>Кратка препратка — провери дали [13] поставя същите два въпроса.</t>
        </is>
      </c>
      <c r="I63" s="28" t="inlineStr">
        <is>
          <t>Нисък</t>
        </is>
      </c>
      <c r="J63" s="30" t="inlineStr">
        <is>
          <t>Потвърдено</t>
        </is>
      </c>
      <c r="K63" s="30" t="inlineStr">
        <is>
          <t>[13] — arXiv HTML v5</t>
        </is>
      </c>
      <c r="L63" s="48" t="inlineStr">
        <is>
          <t>https://arxiv.org/html/2411.16594v5</t>
        </is>
      </c>
      <c r="M63" s="49" t="inlineStr">
        <is>
          <t>Същата систематизация — виж редове 58 и 59.</t>
        </is>
      </c>
      <c r="N63" s="30" t="inlineStr">
        <is>
          <t>Кратка препратка, покрита от редове 58 и 59.</t>
        </is>
      </c>
      <c r="O63" s="30" t="inlineStr">
        <is>
          <t>Claude (авт.)</t>
        </is>
      </c>
      <c r="P63" s="30" t="inlineStr">
        <is>
          <t>28.08.2026</t>
        </is>
      </c>
    </row>
    <row r="64" ht="78" customHeight="1" s="22">
      <c r="A64" s="28" t="n">
        <v>63</v>
      </c>
      <c r="B64" s="28" t="inlineStr">
        <is>
          <t>Изводи</t>
        </is>
      </c>
      <c r="C64" s="28" t="inlineStr">
        <is>
          <t>[26]</t>
        </is>
      </c>
      <c r="D64" s="49" t="inlineStr">
        <is>
          <t>[28]</t>
        </is>
      </c>
      <c r="E64" s="29" t="n"/>
      <c r="F64" s="29" t="inlineStr">
        <is>
          <t>Автоматизираното оценяване напредва бързо: моделите в ролята на оценители вече постигат съвпадение с човешката преценка над 80 на сто в изследвани условия [26], а част от проверките — за четивност, за съществуване на цитирани източници, за близост до съществуващи текстове — са автоматизируеми още днес.</t>
        </is>
      </c>
      <c r="G64" s="29" t="inlineStr">
        <is>
          <t>Число (повторение)</t>
        </is>
      </c>
      <c r="H64" s="29" t="inlineStr">
        <is>
          <t>Същото число като ред 57 — провери съгласуваността между двете места в текста.</t>
        </is>
      </c>
      <c r="I64" s="32" t="inlineStr">
        <is>
          <t>Висок</t>
        </is>
      </c>
      <c r="J64" s="30" t="inlineStr">
        <is>
          <t>Потвърдено</t>
        </is>
      </c>
      <c r="K64" s="30" t="inlineStr">
        <is>
          <t>arXiv:2306.05685 — същият пасаж</t>
        </is>
      </c>
      <c r="L64" s="48" t="inlineStr">
        <is>
          <t>https://arxiv.org/html/2306.05685v4</t>
        </is>
      </c>
      <c r="M64" s="49" t="inlineStr">
        <is>
          <t>Същият пасаж като ред 57.</t>
        </is>
      </c>
      <c r="N64" s="30" t="inlineStr">
        <is>
          <t>Съгласувано с ред 57. Формулировката „в изследвани условия“ тук е коректна и покрива ограничението S2.</t>
        </is>
      </c>
      <c r="O64" s="30" t="inlineStr">
        <is>
          <t>Claude (авт.)</t>
        </is>
      </c>
      <c r="P64" s="30" t="inlineStr">
        <is>
          <t>28.08.2026</t>
        </is>
      </c>
    </row>
    <row r="65" ht="78" customHeight="1" s="22">
      <c r="A65" s="28" t="n">
        <v>64</v>
      </c>
      <c r="B65" s="28" t="inlineStr">
        <is>
          <t>Изводи</t>
        </is>
      </c>
      <c r="C65" s="28" t="inlineStr">
        <is>
          <t>[10]</t>
        </is>
      </c>
      <c r="D65" s="49" t="inlineStr">
        <is>
          <t>[10]</t>
        </is>
      </c>
      <c r="E65" s="29" t="n"/>
      <c r="F65" s="29" t="inlineStr">
        <is>
          <t>Същевременно документираните отклонения в машинната преценка, липсата на валидирани данни за нискоресурсни езици като българския [10] и невъзможността автоматизирано да се преценят дидактическата уместност за конкретен курс и етичната допустимост определят настоящия избор: моделът се проектира като инструмент за структуриране на експертна човешка преценка, изграден така, че отделните му показатели да могат да бъдат автоматизирани поетапно с узряването на средствата.</t>
        </is>
      </c>
      <c r="G65" s="29" t="inlineStr">
        <is>
          <t>Извод</t>
        </is>
      </c>
      <c r="H65" s="29" t="inlineStr">
        <is>
          <t>Липсата на валидирани данни за нискоресурсни езици — дали [10] го твърди и дали покрива българския. Изводът на главата стъпва на този източник.</t>
        </is>
      </c>
      <c r="I65" s="33" t="inlineStr">
        <is>
          <t>Критичен</t>
        </is>
      </c>
      <c r="J65" s="30" t="inlineStr">
        <is>
          <t>Частично потвърдено</t>
        </is>
      </c>
      <c r="K65" s="30" t="inlineStr">
        <is>
          <t>arXiv:2607.02235 — препоръка 4 и приложението с езиците</t>
        </is>
      </c>
      <c r="L65" s="48" t="inlineStr">
        <is>
          <t>https://arxiv.org/html/2607.02235v1</t>
        </is>
      </c>
      <c r="M65" s="49" t="inlineStr">
        <is>
          <t>Препоръка 4 „Keep humans in the loop“. От славянските езици са включени чешки, полски, руски и сръбски, класифицирани като по-високоресурсни. Българският не се споменава.</t>
        </is>
      </c>
      <c r="N65" s="30" t="inlineStr">
        <is>
          <t>Препоръката за задължително човешко участие при нискоресурсни езици се потвърждава. НО източникът НЕ разглежда българския език: от славянските са включени чешки, полски, руски и сръбски, всички класифицирани като по-високоресурсни. Формулировката „нискоресурсни езици като българския [10]“ приписва на източника класификация, която той не прави. ДЕЙСТВИЕ: отдели двете — липсата на валидирани данни за нискоресурсни езици е на [10]; отнасянето на българския към тях е твой извод и трябва да е обозначено като такъв.</t>
        </is>
      </c>
      <c r="O65" s="30" t="inlineStr">
        <is>
          <t>Claude (авт.)</t>
        </is>
      </c>
      <c r="P65" s="30" t="inlineStr">
        <is>
          <t>28.08.2026</t>
        </is>
      </c>
    </row>
  </sheetData>
  <autoFilter ref="A1:M65"/>
  <dataValidations count="1">
    <dataValidation sqref="I2:I65"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J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style="22" min="1" max="1"/>
    <col width="9" customWidth="1" style="22" min="2" max="2"/>
    <col width="8" customWidth="1" style="22" min="3" max="3"/>
    <col width="95" customWidth="1" style="22" min="4" max="4"/>
    <col width="20" customWidth="1" style="22" min="5" max="5"/>
    <col width="26" customWidth="1" style="22" min="6" max="6"/>
    <col width="60" customWidth="1" style="22" min="7" max="7"/>
    <col width="34" customWidth="1" style="22" min="8" max="8"/>
    <col width="13" customWidth="1" style="22" min="9" max="9"/>
    <col width="11" customWidth="1" style="22" min="10" max="10"/>
  </cols>
  <sheetData>
    <row r="1" ht="30" customHeight="1" s="22">
      <c r="A1" s="50" t="inlineStr">
        <is>
          <t>№</t>
        </is>
      </c>
      <c r="B1" s="50" t="inlineStr">
        <is>
          <t>Раздел</t>
        </is>
      </c>
      <c r="C1" s="50" t="inlineStr">
        <is>
          <t>Абзац</t>
        </is>
      </c>
      <c r="D1" s="50" t="inlineStr">
        <is>
          <t>Изречение без цитат</t>
        </is>
      </c>
      <c r="E1" s="50" t="inlineStr">
        <is>
          <t>Решение</t>
        </is>
      </c>
      <c r="F1" s="50" t="inlineStr">
        <is>
          <t>Източник, който го подкрепя</t>
        </is>
      </c>
      <c r="G1" s="50" t="inlineStr">
        <is>
          <t>Извадка от източника</t>
        </is>
      </c>
      <c r="H1" s="50" t="inlineStr">
        <is>
          <t>Действие в текста</t>
        </is>
      </c>
      <c r="I1" s="50" t="inlineStr">
        <is>
          <t>Проверил</t>
        </is>
      </c>
      <c r="J1" s="50" t="inlineStr">
        <is>
          <t>Дата</t>
        </is>
      </c>
    </row>
    <row r="2" ht="48" customHeight="1" s="22">
      <c r="A2" s="49" t="n">
        <v>1</v>
      </c>
      <c r="B2" s="49" t="inlineStr">
        <is>
          <t>1.1</t>
        </is>
      </c>
      <c r="C2" s="49" t="n">
        <v>11</v>
      </c>
      <c r="D2" s="49" t="inlineStr">
        <is>
          <t>Първите две точки установяват какво представлява електронното учебно съдържание и на какви педагогически изисквания трябва да отговаря то — независимо от начина, по който е създадено.</t>
        </is>
      </c>
      <c r="E2" s="57" t="inlineStr">
        <is>
          <t>Рамка на изложението — не изисква източник</t>
        </is>
      </c>
      <c r="F2" s="57" t="inlineStr"/>
      <c r="G2" s="57" t="inlineStr"/>
      <c r="H2"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 s="57" t="inlineStr">
        <is>
          <t>Claude (авт.)</t>
        </is>
      </c>
      <c r="J2" s="57" t="inlineStr">
        <is>
          <t>29.08.2026</t>
        </is>
      </c>
    </row>
    <row r="3" ht="48" customHeight="1" s="22">
      <c r="A3" s="49" t="n">
        <v>2</v>
      </c>
      <c r="B3" s="49" t="inlineStr">
        <is>
          <t>1.1</t>
        </is>
      </c>
      <c r="C3" s="49" t="n">
        <v>11</v>
      </c>
      <c r="D3" s="49" t="inlineStr">
        <is>
          <t>Шестата точка очертава нормативната рамка — етичните, правните и академичните изисквания, а седмата разглежда съществуващите подходи за оценяване на качеството и установява защо те са недостатъчни за съдържанието, създадено с генеративни инструменти.</t>
        </is>
      </c>
      <c r="E3" s="57" t="inlineStr">
        <is>
          <t>Рамка на изложението — не изисква източник</t>
        </is>
      </c>
      <c r="F3" s="57" t="inlineStr"/>
      <c r="G3" s="57" t="inlineStr"/>
      <c r="H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 s="57" t="inlineStr">
        <is>
          <t>Claude (авт.)</t>
        </is>
      </c>
      <c r="J3" s="57" t="inlineStr">
        <is>
          <t>29.08.2026</t>
        </is>
      </c>
    </row>
    <row r="4" ht="48" customHeight="1" s="22">
      <c r="A4" s="49" t="n">
        <v>3</v>
      </c>
      <c r="B4" s="49" t="inlineStr">
        <is>
          <t>1.1</t>
        </is>
      </c>
      <c r="C4" s="49" t="n">
        <v>12</v>
      </c>
      <c r="D4" s="49" t="inlineStr">
        <is>
          <t>В научната литература електронното учебно съдържание се определя най-общо като съвкупност от учебни материали в цифров формат, предназначени да подпомогнат постигането на предварително формулирани учебни цели и достъпни за обучаемия чрез електронно устройство.</t>
        </is>
      </c>
      <c r="E4" s="51" t="inlineStr">
        <is>
          <t>Покрито от цитата в същия абзац</t>
        </is>
      </c>
      <c r="F4" s="51" t="inlineStr"/>
      <c r="G4" s="51" t="inlineStr"/>
      <c r="H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 s="51" t="inlineStr">
        <is>
          <t>Claude (авт.)</t>
        </is>
      </c>
      <c r="J4" s="51" t="inlineStr">
        <is>
          <t>29.08.2026</t>
        </is>
      </c>
    </row>
    <row r="5" ht="48" customHeight="1" s="22">
      <c r="A5" s="49" t="n">
        <v>4</v>
      </c>
      <c r="B5" s="49" t="inlineStr">
        <is>
          <t>1.1</t>
        </is>
      </c>
      <c r="C5" s="49" t="n">
        <v>13</v>
      </c>
      <c r="D5" s="49" t="inlineStr">
        <is>
          <t>Електронното обучение обозначава формата на организация на учебния процес; електронната образователна среда — технологичната платформа, в която той протича; а електронното учебно съдържание е самият учебен материал, който средата поднася и формата организира.</t>
        </is>
      </c>
      <c r="E5" s="51" t="inlineStr">
        <is>
          <t>Преформулиране</t>
        </is>
      </c>
      <c r="F5" s="51" t="inlineStr">
        <is>
          <t>—</t>
        </is>
      </c>
      <c r="G5" s="51" t="inlineStr"/>
      <c r="H5" s="51" t="inlineStr">
        <is>
          <t>Абзац 12 вече обявява работна позиция. Тук се добавя същото: „В настоящата разработка трите понятия се разграничават така…“. Дефиницията на електронното обучение стъпва на [11]; другите две са работни разграничения за нуждите на изложението, не твърдения за литературата.</t>
        </is>
      </c>
      <c r="I5" s="51" t="inlineStr">
        <is>
          <t>Claude (авт.)</t>
        </is>
      </c>
      <c r="J5" s="51" t="inlineStr">
        <is>
          <t>29.08.2026</t>
        </is>
      </c>
    </row>
    <row r="6" ht="48" customHeight="1" s="22">
      <c r="A6" s="49" t="n">
        <v>5</v>
      </c>
      <c r="B6" s="49" t="inlineStr">
        <is>
          <t>1.1</t>
        </is>
      </c>
      <c r="C6" s="49" t="n">
        <v>14</v>
      </c>
      <c r="D6" s="49" t="inlineStr">
        <is>
          <t>Към тях се добавят независимостта от време и място на достъпа, възможността за адаптиране към индивидуалните потребности на обучаемия и проследимостта — цифровата среда регистрира кога и как съдържанието се използва, което създава предпоставки за обратна връзка и усъвършенстване.</t>
        </is>
      </c>
      <c r="E6" s="51" t="inlineStr">
        <is>
          <t>Покрито от цитата в същия абзац</t>
        </is>
      </c>
      <c r="F6" s="51" t="inlineStr"/>
      <c r="G6" s="51" t="inlineStr"/>
      <c r="H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6" s="51" t="inlineStr">
        <is>
          <t>Claude (авт.)</t>
        </is>
      </c>
      <c r="J6" s="51" t="inlineStr">
        <is>
          <t>29.08.2026</t>
        </is>
      </c>
    </row>
    <row r="7" ht="48" customHeight="1" s="22">
      <c r="A7" s="49" t="n">
        <v>6</v>
      </c>
      <c r="B7" s="49" t="inlineStr">
        <is>
          <t>1.1</t>
        </is>
      </c>
      <c r="C7" s="49" t="n">
        <v>16</v>
      </c>
      <c r="D7" s="49" t="inlineStr">
        <is>
          <t>Един и същ текст може да бъде използван като справочен материал, като основа за урок или като част от изпитен комплект; учебната му функция се определя не само от съдържанието, но и от начина, по който е поставен в учебния процес.</t>
        </is>
      </c>
      <c r="E7" s="57" t="inlineStr">
        <is>
          <t>Нужен източник — намерен</t>
        </is>
      </c>
      <c r="F7" s="57" t="inlineStr">
        <is>
          <t>[24] IEEE LOM</t>
        </is>
      </c>
      <c r="G7" s="57" t="inlineStr"/>
      <c r="H7" s="57" t="inlineStr">
        <is>
          <t>Стандартът описва учебния обект с елемент „Context“ в образователната категория — тоест контекстът на употреба е част от описанието на ресурса. Това подкрепя твърдението, че функцията се определя и от мястото в учебния процес. Добави [24].</t>
        </is>
      </c>
      <c r="I7" s="57" t="inlineStr">
        <is>
          <t>Claude (авт.)</t>
        </is>
      </c>
      <c r="J7" s="57" t="inlineStr">
        <is>
          <t>29.08.2026</t>
        </is>
      </c>
    </row>
    <row r="8" ht="48" customHeight="1" s="22">
      <c r="A8" s="49" t="n">
        <v>7</v>
      </c>
      <c r="B8" s="49" t="inlineStr">
        <is>
          <t>1.1</t>
        </is>
      </c>
      <c r="C8" s="49" t="n">
        <v>19</v>
      </c>
      <c r="D8" s="49" t="inlineStr">
        <is>
          <t>Систематизацията на видовете има и утвърдена стандартизационна основа.</t>
        </is>
      </c>
      <c r="E8" s="57" t="inlineStr">
        <is>
          <t>Рамка на изложението — не изисква източник</t>
        </is>
      </c>
      <c r="F8" s="57" t="inlineStr"/>
      <c r="G8" s="57" t="inlineStr"/>
      <c r="H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8" s="57" t="inlineStr">
        <is>
          <t>Claude (авт.)</t>
        </is>
      </c>
      <c r="J8" s="57" t="inlineStr">
        <is>
          <t>29.08.2026</t>
        </is>
      </c>
    </row>
    <row r="9" ht="48" customHeight="1" s="22">
      <c r="A9" s="49" t="n">
        <v>8</v>
      </c>
      <c r="B9" s="49" t="inlineStr">
        <is>
          <t>1.1</t>
        </is>
      </c>
      <c r="C9" s="49" t="n">
        <v>19</v>
      </c>
      <c r="D9" s="49" t="inlineStr">
        <is>
          <t>В литературата и в стандартите отделната единица електронно съдържание се описва чрез понятието учебен обект — всяка единица, цифрова или не, използвана за учене, образование или обучение.</t>
        </is>
      </c>
      <c r="E9" s="51" t="inlineStr">
        <is>
          <t>Покрито от цитата в същия абзац</t>
        </is>
      </c>
      <c r="F9" s="51" t="inlineStr"/>
      <c r="G9" s="51" t="inlineStr"/>
      <c r="H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9" s="51" t="inlineStr">
        <is>
          <t>Claude (авт.)</t>
        </is>
      </c>
      <c r="J9" s="51" t="inlineStr">
        <is>
          <t>29.08.2026</t>
        </is>
      </c>
    </row>
    <row r="10" ht="48" customHeight="1" s="22">
      <c r="A10" s="49" t="n">
        <v>9</v>
      </c>
      <c r="B10" s="49" t="inlineStr">
        <is>
          <t>1.1</t>
        </is>
      </c>
      <c r="C10" s="49" t="n">
        <v>19</v>
      </c>
      <c r="D10" s="49" t="inlineStr">
        <is>
          <t>Съществуването на такъв стандарт показва, че модулността, повторната използваемост и описуемостта на електронното съдържание не са пожелателни качества, а отдавна формализирани характеристики на полето.</t>
        </is>
      </c>
      <c r="E10" s="51" t="inlineStr">
        <is>
          <t>Покрито от цитата в същия абзац</t>
        </is>
      </c>
      <c r="F10" s="51" t="inlineStr"/>
      <c r="G10" s="51" t="inlineStr"/>
      <c r="H10"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0" s="51" t="inlineStr">
        <is>
          <t>Claude (авт.)</t>
        </is>
      </c>
      <c r="J10" s="51" t="inlineStr">
        <is>
          <t>29.08.2026</t>
        </is>
      </c>
    </row>
    <row r="11" ht="48" customHeight="1" s="22">
      <c r="A11" s="49" t="n">
        <v>10</v>
      </c>
      <c r="B11" s="49" t="inlineStr">
        <is>
          <t>1.2</t>
        </is>
      </c>
      <c r="C11" s="49" t="n">
        <v>27</v>
      </c>
      <c r="D11" s="49" t="inlineStr">
        <is>
          <t>Тези изисквания могат да бъдат групирани в пет области: съответствие с учебните цели, структура и организация на изложението, достъпност, интерактивност и пригодност за самостоятелно електронно обучение.</t>
        </is>
      </c>
      <c r="E11" s="51" t="inlineStr">
        <is>
          <t>Преформулиране</t>
        </is>
      </c>
      <c r="F11" s="51" t="inlineStr">
        <is>
          <t>—</t>
        </is>
      </c>
      <c r="G11" s="51" t="inlineStr"/>
      <c r="H11" s="51" t="inlineStr">
        <is>
          <t>„Тези изисквания могат да бъдат групирани“ става „Изведените дотук изисквания са подредени тук в пет области“. Така петте области стават организация на изложението, а не твърдение за литературата. Всяко от изискванията поотделно вече има източник.</t>
        </is>
      </c>
      <c r="I11" s="51" t="inlineStr">
        <is>
          <t>Claude (авт.)</t>
        </is>
      </c>
      <c r="J11" s="51" t="inlineStr">
        <is>
          <t>29.08.2026</t>
        </is>
      </c>
    </row>
    <row r="12" ht="48" customHeight="1" s="22">
      <c r="A12" s="49" t="n">
        <v>11</v>
      </c>
      <c r="B12" s="49" t="inlineStr">
        <is>
          <t>1.2</t>
        </is>
      </c>
      <c r="C12" s="49" t="n">
        <v>32</v>
      </c>
      <c r="D12" s="49" t="inlineStr">
        <is>
          <t>Общата рамка остава една и съща, но тежестта на отделните изисквания се мести — обстоятелство, което всеки модел за оценяване трябва да отчете чрез тълкуване на критериите според вида на материала, а не чрез отделни системи от критерии за всеки вид.</t>
        </is>
      </c>
      <c r="E12" s="51" t="inlineStr">
        <is>
          <t>Премахнато</t>
        </is>
      </c>
      <c r="F12" s="51" t="inlineStr">
        <is>
          <t>—</t>
        </is>
      </c>
      <c r="G12" s="51" t="inlineStr"/>
      <c r="H12" s="51" t="inlineStr">
        <is>
          <t>Втората половина — „обстоятелство, което всеки модел за оценяване трябва да отчете чрез тълкуване на критериите…“ — е предписание към бъдещия модел. Същият тип препратки вече отпаднаха от 1.5. Остава само първата част: рамката е обща, тежестта на изискванията се мести.</t>
        </is>
      </c>
      <c r="I12" s="51" t="inlineStr">
        <is>
          <t>Claude (авт.)</t>
        </is>
      </c>
      <c r="J12" s="51" t="inlineStr">
        <is>
          <t>29.08.2026</t>
        </is>
      </c>
    </row>
    <row r="13" ht="48" customHeight="1" s="22">
      <c r="A13" s="49" t="n">
        <v>12</v>
      </c>
      <c r="B13" s="49" t="inlineStr">
        <is>
          <t>1.2</t>
        </is>
      </c>
      <c r="C13" s="49" t="n">
        <v>33</v>
      </c>
      <c r="D13" s="49" t="inlineStr">
        <is>
          <t>Генерираното съдържание е особено податливо на този дефект по две причини: моделът няма представа за учебното време, а зададеният в заявката обем се спазва приблизително.</t>
        </is>
      </c>
      <c r="E13" s="57" t="inlineStr">
        <is>
          <t>Нужен източник — намерен</t>
        </is>
      </c>
      <c r="F13" s="57" t="inlineStr">
        <is>
          <t>[41] COGENT</t>
        </is>
      </c>
      <c r="G13" s="57" t="inlineStr"/>
      <c r="H13" s="57" t="inlineStr">
        <is>
          <t>COGENT въвежда изрични ограничения върху броя думи и сложността на езика („constraints on word number, vocabulary, and sentence complexity“) точно защото моделите не ги спазват сами. Това подкрепя косвено втората причина. ВНИМАНИЕ: първата причина — „моделът няма представа за учебното време“ — не се подкрепя от нищо и трябва да отпадне.</t>
        </is>
      </c>
      <c r="I13" s="57" t="inlineStr">
        <is>
          <t>Claude (авт.)</t>
        </is>
      </c>
      <c r="J13" s="57" t="inlineStr">
        <is>
          <t>29.08.2026</t>
        </is>
      </c>
    </row>
    <row r="14" ht="48" customHeight="1" s="22">
      <c r="A14" s="49" t="n">
        <v>13</v>
      </c>
      <c r="B14" s="49" t="inlineStr">
        <is>
          <t>1.2</t>
        </is>
      </c>
      <c r="C14" s="49" t="n">
        <v>37</v>
      </c>
      <c r="D14" s="49" t="inlineStr">
        <is>
          <t>Педагогическата ѝ стойност не е в потвърждаването на верния отговор, а в обяснението: защо даден отговор е грешен, каква представа стои зад грешката и как тя се преодолява.</t>
        </is>
      </c>
      <c r="E14" s="57" t="inlineStr">
        <is>
          <t>Нужен източник — намерен</t>
        </is>
      </c>
      <c r="F14" s="57" t="inlineStr">
        <is>
          <t>[42] Wang и кол. 2019</t>
        </is>
      </c>
      <c r="G14" s="57" t="inlineStr"/>
      <c r="H14" s="57" t="inlineStr">
        <is>
          <t>Разгърнатата обратна връзка се дефинира като „additional instructional information of correct responses“, включително обяснения и стъпки за решаване. Добави [42], със същата условност както на ред 14 от Ниво 2.</t>
        </is>
      </c>
      <c r="I14" s="57" t="inlineStr">
        <is>
          <t>Claude (авт.)</t>
        </is>
      </c>
      <c r="J14" s="57" t="inlineStr">
        <is>
          <t>29.08.2026</t>
        </is>
      </c>
    </row>
    <row r="15" ht="48" customHeight="1" s="22">
      <c r="A15" s="49" t="n">
        <v>14</v>
      </c>
      <c r="B15" s="49" t="inlineStr">
        <is>
          <t>1.2</t>
        </is>
      </c>
      <c r="C15" s="49" t="n">
        <v>37</v>
      </c>
      <c r="D15" s="49" t="inlineStr">
        <is>
          <t>В самостоятелното електронно обучение това изискване е още по-строго, тъй като обучаемият няма към кого да се обърне при затруднение — обратната връзка е единственият заместител на преподавателския отговор.</t>
        </is>
      </c>
      <c r="E15" s="51" t="inlineStr">
        <is>
          <t>Премахнато</t>
        </is>
      </c>
      <c r="F15" s="51" t="inlineStr">
        <is>
          <t>—</t>
        </is>
      </c>
      <c r="G15" s="51" t="inlineStr"/>
      <c r="H15" s="51" t="inlineStr">
        <is>
          <t>„Обратната връзка е единственият заместител на преподавателския отговор“ е правдоподобно, но неподкрепено. В НИП отпада. Ако искаш да остане, трябва източник за самостоятелното електронно обучение — нямаме такъв.</t>
        </is>
      </c>
      <c r="I15" s="51" t="inlineStr">
        <is>
          <t>Claude (авт.)</t>
        </is>
      </c>
      <c r="J15" s="51" t="inlineStr">
        <is>
          <t>29.08.2026</t>
        </is>
      </c>
    </row>
    <row r="16" ht="48" customHeight="1" s="22">
      <c r="A16" s="49" t="n">
        <v>15</v>
      </c>
      <c r="B16" s="49" t="inlineStr">
        <is>
          <t>1.2</t>
        </is>
      </c>
      <c r="C16" s="49" t="n">
        <v>39</v>
      </c>
      <c r="D16" s="49" t="inlineStr">
        <is>
          <t>Накрая, пригодността за електронно обучение обобщава спецификата на средата: за разлика от учебните материали, използвани в присъствено обучение, електронното съдържание често функционира без постоянното присъствие на преподавател.</t>
        </is>
      </c>
      <c r="E16" s="51" t="inlineStr">
        <is>
          <t>Покрито от цитата в същия абзац</t>
        </is>
      </c>
      <c r="F16" s="51" t="inlineStr"/>
      <c r="G16" s="51" t="inlineStr"/>
      <c r="H1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6" s="51" t="inlineStr">
        <is>
          <t>Claude (авт.)</t>
        </is>
      </c>
      <c r="J16" s="51" t="inlineStr">
        <is>
          <t>29.08.2026</t>
        </is>
      </c>
    </row>
    <row r="17" ht="48" customHeight="1" s="22">
      <c r="A17" s="49" t="n">
        <v>16</v>
      </c>
      <c r="B17" s="49" t="inlineStr">
        <is>
          <t>1.2</t>
        </is>
      </c>
      <c r="C17" s="49" t="n">
        <v>40</v>
      </c>
      <c r="D17" s="49" t="inlineStr">
        <is>
          <t>Обобщено, петте области изисквания — съответствие с целите, структура, достъпност, интерактивност и пригодност за самостоятелно обучение — образуват съдържателната основа, върху която ще бъдат изградени критериите за качество.</t>
        </is>
      </c>
      <c r="E17" s="57" t="inlineStr">
        <is>
          <t>Рамка на изложението — не изисква източник</t>
        </is>
      </c>
      <c r="F17" s="57" t="inlineStr"/>
      <c r="G17" s="57" t="inlineStr"/>
      <c r="H1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17" s="57" t="inlineStr">
        <is>
          <t>Claude (авт.)</t>
        </is>
      </c>
      <c r="J17" s="57" t="inlineStr">
        <is>
          <t>29.08.2026</t>
        </is>
      </c>
    </row>
    <row r="18" ht="48" customHeight="1" s="22">
      <c r="A18" s="49" t="n">
        <v>17</v>
      </c>
      <c r="B18" s="49" t="inlineStr">
        <is>
          <t>1.3</t>
        </is>
      </c>
      <c r="C18" s="49" t="n">
        <v>43</v>
      </c>
      <c r="D18" s="49" t="inlineStr">
        <is>
          <t>Първата е начинът на обработка на текста: моделът не работи с думи, а с по-малки единици, наречени токени, и предсказва следващата единица въз основа на предходните.</t>
        </is>
      </c>
      <c r="E18" s="51" t="inlineStr">
        <is>
          <t>Нужен източник — намерен</t>
        </is>
      </c>
      <c r="F18" s="51" t="inlineStr">
        <is>
          <t>Zhao и кол., A Survey of Large Language Models, arXiv:2303.18223 — „greedy search that predicts the most likely token at</t>
        </is>
      </c>
      <c r="G18" s="51" t="inlineStr">
        <is>
          <t>Zhao и кол., A Survey of Large Language Models, arXiv:2303.18223 — „greedy search that predicts the most likely token at each step based on the previously generated“; раздел за токенизацията.</t>
        </is>
      </c>
      <c r="H18" s="51" t="inlineStr">
        <is>
          <t>НАНЕСЕНО В НИП 29.08 с временен маркер до преномерирането.</t>
        </is>
      </c>
      <c r="I18" s="51" t="inlineStr">
        <is>
          <t>Claude (авт.)</t>
        </is>
      </c>
      <c r="J18" s="51" t="inlineStr">
        <is>
          <t>29.08.2026</t>
        </is>
      </c>
    </row>
    <row r="19" ht="48" customHeight="1" s="22">
      <c r="A19" s="49" t="n">
        <v>18</v>
      </c>
      <c r="B19" s="49" t="inlineStr">
        <is>
          <t>1.3</t>
        </is>
      </c>
      <c r="C19" s="49" t="n">
        <v>43</v>
      </c>
      <c r="D19" s="49" t="inlineStr">
        <is>
          <t>Втората е контекстният прозорец — ограниченият обем текст, който моделът може да отчита едновременно; при по-дълги материали началото на изложението може да влияе по-слабо върху края му, което е една от причините за наблюдаваната терминологична непоследователност в дълги генерирани текстове.</t>
        </is>
      </c>
      <c r="E19" s="51" t="inlineStr">
        <is>
          <t>Нужен източник — намерен</t>
        </is>
      </c>
      <c r="F19" s="51" t="inlineStr">
        <is>
          <t>Liu и кол. 2024, Lost in the Middle, TACL 12, 157–173 — „performance can degrade significantly when changing the positio</t>
        </is>
      </c>
      <c r="G19" s="51" t="inlineStr">
        <is>
          <t>Liu и кол. 2024, Lost in the Middle, TACL 12, 157–173 — „performance can degrade significantly when changing the position of relevant information“.</t>
        </is>
      </c>
      <c r="H19" s="51" t="inlineStr">
        <is>
          <t>НАНЕСЕНО В НИП 29.08 с временен маркер до преномерирането.</t>
        </is>
      </c>
      <c r="I19" s="51" t="inlineStr">
        <is>
          <t>Claude (авт.)</t>
        </is>
      </c>
      <c r="J19" s="51" t="inlineStr">
        <is>
          <t>29.08.2026</t>
        </is>
      </c>
    </row>
    <row r="20" ht="48" customHeight="1" s="22">
      <c r="A20" s="49" t="n">
        <v>19</v>
      </c>
      <c r="B20" s="49" t="inlineStr">
        <is>
          <t>1.3</t>
        </is>
      </c>
      <c r="C20" s="49" t="n">
        <v>43</v>
      </c>
      <c r="D20" s="49" t="inlineStr">
        <is>
          <t>Третата е вероятностният подбор при генерирането: при едни и същи входни данни моделът може да произведе различни изходи, тъй като следващата единица се избира от разпределение, а не еднозначно.</t>
        </is>
      </c>
      <c r="E20" s="51" t="inlineStr">
        <is>
          <t>Нужен източник — намерен</t>
        </is>
      </c>
      <c r="F20" s="51" t="inlineStr">
        <is>
          <t>Zhao и кол., arXiv:2303.18223 — „sampling-based methods will sample the word with higher probability while also retainin</t>
        </is>
      </c>
      <c r="G20" s="51" t="inlineStr">
        <is>
          <t>Zhao и кол., arXiv:2303.18223 — „sampling-based methods will sample the word with higher probability while also retaining the possibilities of selecting the rest words“.</t>
        </is>
      </c>
      <c r="H20" s="51" t="inlineStr">
        <is>
          <t>НАНЕСЕНО В НИП 29.08 с временен маркер до преномерирането.</t>
        </is>
      </c>
      <c r="I20" s="51" t="inlineStr">
        <is>
          <t>Claude (авт.)</t>
        </is>
      </c>
      <c r="J20" s="51" t="inlineStr">
        <is>
          <t>29.08.2026</t>
        </is>
      </c>
    </row>
    <row r="21" ht="48" customHeight="1" s="22">
      <c r="A21" s="49" t="n">
        <v>20</v>
      </c>
      <c r="B21" s="49" t="inlineStr">
        <is>
          <t>1.3</t>
        </is>
      </c>
      <c r="C21" s="49" t="n">
        <v>45</v>
      </c>
      <c r="D21" s="49" t="inlineStr">
        <is>
          <t>В основата на съвременните текстово-генериращи инструменти стоят големите езикови модели — невронни мрежи, обучени върху огромни текстови масиви да предсказват най-вероятното продължение на даден текст.</t>
        </is>
      </c>
      <c r="E21" s="51" t="inlineStr">
        <is>
          <t>Покрито от цитата в същия абзац</t>
        </is>
      </c>
      <c r="F21" s="51" t="inlineStr"/>
      <c r="G21" s="51" t="inlineStr"/>
      <c r="H2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1" s="51" t="inlineStr">
        <is>
          <t>Claude (авт.)</t>
        </is>
      </c>
      <c r="J21" s="51" t="inlineStr">
        <is>
          <t>29.08.2026</t>
        </is>
      </c>
    </row>
    <row r="22" ht="48" customHeight="1" s="22">
      <c r="A22" s="49" t="n">
        <v>21</v>
      </c>
      <c r="B22" s="49" t="inlineStr">
        <is>
          <t>1.3</t>
        </is>
      </c>
      <c r="C22" s="49" t="n">
        <v>45</v>
      </c>
      <c r="D22" s="49" t="inlineStr">
        <is>
          <t>Принципът на действие обаче остава вероятностен: моделът не извлича проверени факти от база знания, а генерира текст, който е статистически правдоподобен спрямо обучителните данни.</t>
        </is>
      </c>
      <c r="E22" s="51" t="inlineStr">
        <is>
          <t>Покрито от цитата в същия абзац</t>
        </is>
      </c>
      <c r="F22" s="51" t="inlineStr"/>
      <c r="G22" s="51" t="inlineStr"/>
      <c r="H2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2" s="51" t="inlineStr">
        <is>
          <t>Claude (авт.)</t>
        </is>
      </c>
      <c r="J22" s="51" t="inlineStr">
        <is>
          <t>29.08.2026</t>
        </is>
      </c>
    </row>
    <row r="23" ht="48" customHeight="1" s="22">
      <c r="A23" s="49" t="n">
        <v>22</v>
      </c>
      <c r="B23" s="49" t="inlineStr">
        <is>
          <t>1.3</t>
        </is>
      </c>
      <c r="C23" s="49" t="n">
        <v>46</v>
      </c>
      <c r="D23" s="49" t="inlineStr">
        <is>
          <t>Възможностите, които тези инструменти предлагат на образованието, са документирани в бързо растяща литература.</t>
        </is>
      </c>
      <c r="E23" s="57" t="inlineStr">
        <is>
          <t>Рамка на изложението — не изисква източник</t>
        </is>
      </c>
      <c r="F23" s="57" t="inlineStr"/>
      <c r="G23" s="57" t="inlineStr"/>
      <c r="H2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3" s="57" t="inlineStr">
        <is>
          <t>Claude (авт.)</t>
        </is>
      </c>
      <c r="J23" s="57" t="inlineStr">
        <is>
          <t>29.08.2026</t>
        </is>
      </c>
    </row>
    <row r="24" ht="48" customHeight="1" s="22">
      <c r="A24" s="49" t="n">
        <v>23</v>
      </c>
      <c r="B24" s="49" t="inlineStr">
        <is>
          <t>1.3</t>
        </is>
      </c>
      <c r="C24" s="49" t="n">
        <v>47</v>
      </c>
      <c r="D24" s="49" t="inlineStr">
        <is>
          <t>Допълнителното обучение върху специализирани данни може да приближи изхода до определен предметен или стилов профил, а извличането на съдържание от външен източник преди генерирането — известно като генериране, обогатено с извличане — привързва отговора към конкретни документи и намалява дела на измислиците.</t>
        </is>
      </c>
      <c r="E24" s="51" t="inlineStr">
        <is>
          <t>Нужен източник — намерен</t>
        </is>
      </c>
      <c r="F24" s="51" t="inlineStr">
        <is>
          <t>Gao и кол., Retrieval-Augmented Generation for LLMs: A Survey, arXiv:2312.10997 — „RAG has emerged as a promising soluti</t>
        </is>
      </c>
      <c r="G24" s="51" t="inlineStr">
        <is>
          <t>Gao и кол., Retrieval-Augmented Generation for LLMs: A Survey, arXiv:2312.10997 — „RAG has emerged as a promising solution by incorporating knowledge from external databases. This enhances the accuracy and credibility of the generation… and allows for continuous knowledge updates and integration of domain-specific information.“</t>
        </is>
      </c>
      <c r="H24" s="51" t="inlineStr">
        <is>
          <t>НАНЕСЕНО В НИП 29.08 с временен маркер до преномерирането.</t>
        </is>
      </c>
      <c r="I24" s="51" t="inlineStr">
        <is>
          <t>Claude (авт.)</t>
        </is>
      </c>
      <c r="J24" s="51" t="inlineStr">
        <is>
          <t>29.08.2026</t>
        </is>
      </c>
    </row>
    <row r="25" ht="48" customHeight="1" s="22">
      <c r="A25" s="49" t="n">
        <v>24</v>
      </c>
      <c r="B25" s="49" t="inlineStr">
        <is>
          <t>1.3</t>
        </is>
      </c>
      <c r="C25" s="49" t="n">
        <v>47</v>
      </c>
      <c r="D25" s="49" t="inlineStr">
        <is>
          <t>И двата подхода обаче изместват проблема, вместо да го премахнат: качеството на изхода става зависимо от качеството и актуалността на подадените данни, а проверката остава необходима, защото моделът продължава да преформулира извлеченото със собствени думи.</t>
        </is>
      </c>
      <c r="E25" s="51" t="inlineStr">
        <is>
          <t>Покрито от цитата в същия абзац</t>
        </is>
      </c>
      <c r="F25" s="51" t="inlineStr"/>
      <c r="G25" s="51" t="inlineStr"/>
      <c r="H2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5" s="51" t="inlineStr">
        <is>
          <t>Claude (авт.)</t>
        </is>
      </c>
      <c r="J25" s="51" t="inlineStr">
        <is>
          <t>29.08.2026</t>
        </is>
      </c>
    </row>
    <row r="26" ht="48" customHeight="1" s="22">
      <c r="A26" s="49" t="n">
        <v>25</v>
      </c>
      <c r="B26" s="49" t="inlineStr">
        <is>
          <t>1.3</t>
        </is>
      </c>
      <c r="C26" s="49" t="n">
        <v>51</v>
      </c>
      <c r="D26" s="49" t="inlineStr">
        <is>
          <t>При втория човекът задава рамката и одобрява крайния резултат, без да следи междинните стъпки.</t>
        </is>
      </c>
      <c r="E26" s="57" t="inlineStr">
        <is>
          <t>Нужен източник — намерен</t>
        </is>
      </c>
      <c r="F26" s="57" t="inlineStr">
        <is>
          <t>[22] Instructional Agents</t>
        </is>
      </c>
      <c r="G26" s="57" t="inlineStr"/>
      <c r="H26" s="57" t="inlineStr">
        <is>
          <t>Системата дефинира четири режима на човешко участие, сред които „Catalog-Guided“ и „Feedback-Guided“ — тоест човекът задава рамката и одобрява, без да следи всяка стъпка. Добави [22].</t>
        </is>
      </c>
      <c r="I26" s="57" t="inlineStr">
        <is>
          <t>Claude (авт.)</t>
        </is>
      </c>
      <c r="J26" s="57" t="inlineStr">
        <is>
          <t>29.08.2026</t>
        </is>
      </c>
    </row>
    <row r="27" ht="48" customHeight="1" s="22">
      <c r="A27" s="49" t="n">
        <v>26</v>
      </c>
      <c r="B27" s="49" t="inlineStr">
        <is>
          <t>1.3</t>
        </is>
      </c>
      <c r="C27" s="49" t="n">
        <v>54</v>
      </c>
      <c r="D27" s="49" t="inlineStr">
        <is>
          <t>След като са изяснени принципът на действие и границите на генеративните инструменти, следващата стъпка е да се разгледа конкретно как те се използват при разработването на учебни материали — какви подходи, работни процеси и равнища на автоматизация се обособяват в практиката и в литературата.</t>
        </is>
      </c>
      <c r="E27" s="57" t="inlineStr">
        <is>
          <t>Рамка на изложението — не изисква източник</t>
        </is>
      </c>
      <c r="F27" s="57" t="inlineStr"/>
      <c r="G27" s="57" t="inlineStr"/>
      <c r="H2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7" s="57" t="inlineStr">
        <is>
          <t>Claude (авт.)</t>
        </is>
      </c>
      <c r="J27" s="57" t="inlineStr">
        <is>
          <t>29.08.2026</t>
        </is>
      </c>
    </row>
    <row r="28" ht="48" customHeight="1" s="22">
      <c r="A28" s="49" t="n">
        <v>27</v>
      </c>
      <c r="B28" s="49" t="inlineStr">
        <is>
          <t>1.4</t>
        </is>
      </c>
      <c r="C28" s="49" t="n">
        <v>56</v>
      </c>
      <c r="D28" s="49" t="inlineStr">
        <is>
          <t>Прегледът на литературата показва, че приложенията не са еднородни: те се различават по степента на автоматизация и по мястото, което заема човекът в процеса на създаване.</t>
        </is>
      </c>
      <c r="E28" s="51" t="inlineStr">
        <is>
          <t>Покрито от цитата в същия абзац</t>
        </is>
      </c>
      <c r="F28" s="51" t="inlineStr"/>
      <c r="G28" s="51" t="inlineStr"/>
      <c r="H28"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8" s="51" t="inlineStr">
        <is>
          <t>Claude (авт.)</t>
        </is>
      </c>
      <c r="J28" s="51" t="inlineStr">
        <is>
          <t>29.08.2026</t>
        </is>
      </c>
    </row>
    <row r="29" ht="48" customHeight="1" s="22">
      <c r="A29" s="49" t="n">
        <v>28</v>
      </c>
      <c r="B29" s="49" t="inlineStr">
        <is>
          <t>1.4</t>
        </is>
      </c>
      <c r="C29" s="49" t="n">
        <v>59</v>
      </c>
      <c r="D29" s="49" t="inlineStr">
        <is>
          <t>Такива решения показват накъде води логиката на вграждания контрол: колкото по-специализирана е платформата, толкова по-плътно педагогическите ограничения се вграждат в самото генериране.</t>
        </is>
      </c>
      <c r="E29" s="51" t="inlineStr">
        <is>
          <t>Покрито от цитата в същия абзац</t>
        </is>
      </c>
      <c r="F29" s="51" t="inlineStr"/>
      <c r="G29" s="51" t="inlineStr"/>
      <c r="H2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9" s="51" t="inlineStr">
        <is>
          <t>Claude (авт.)</t>
        </is>
      </c>
      <c r="J29" s="51" t="inlineStr">
        <is>
          <t>29.08.2026</t>
        </is>
      </c>
    </row>
    <row r="30" ht="48" customHeight="1" s="22">
      <c r="A30" s="49" t="n">
        <v>29</v>
      </c>
      <c r="B30" s="49" t="inlineStr">
        <is>
          <t>1.4</t>
        </is>
      </c>
      <c r="C30" s="49" t="n">
        <v>61</v>
      </c>
      <c r="D30" s="49"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 работата — че възприеманото качество не е свидетелство за действителното.</t>
        </is>
      </c>
      <c r="E30" s="57" t="inlineStr">
        <is>
          <t>Покрито от цитата в същия абзац</t>
        </is>
      </c>
      <c r="F30" s="57" t="inlineStr">
        <is>
          <t>[8]</t>
        </is>
      </c>
      <c r="G30" s="57" t="inlineStr"/>
      <c r="H30" s="57" t="inlineStr">
        <is>
          <t>Изречението тълкува данните от [8], които са цитирани в началото на абзаца. Повтори скобата в края на изречението, за да е ясно, че тълкуването стъпва на същия източник, а не въвежда нов факт.</t>
        </is>
      </c>
      <c r="I30" s="57" t="inlineStr">
        <is>
          <t>Claude (авт.)</t>
        </is>
      </c>
      <c r="J30" s="57" t="inlineStr">
        <is>
          <t>29.08.2026</t>
        </is>
      </c>
    </row>
    <row r="31" ht="48" customHeight="1" s="22">
      <c r="A31" s="49" t="n">
        <v>30</v>
      </c>
      <c r="B31" s="49" t="inlineStr">
        <is>
          <t>1.4</t>
        </is>
      </c>
      <c r="C31" s="49" t="n">
        <v>62</v>
      </c>
      <c r="D31" s="49" t="inlineStr">
        <is>
          <t>Най-подробно документираният български опит с генериране на тестови въпроси илюстрира и трите равнища едновременно.</t>
        </is>
      </c>
      <c r="E31" s="51" t="inlineStr">
        <is>
          <t>Покрито от цитата в същия абзац</t>
        </is>
      </c>
      <c r="F31" s="51" t="inlineStr"/>
      <c r="G31" s="51" t="inlineStr"/>
      <c r="H3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1" s="51" t="inlineStr">
        <is>
          <t>Claude (авт.)</t>
        </is>
      </c>
      <c r="J31" s="51" t="inlineStr">
        <is>
          <t>29.08.2026</t>
        </is>
      </c>
    </row>
    <row r="32" ht="48" customHeight="1" s="22">
      <c r="A32" s="49" t="n">
        <v>31</v>
      </c>
      <c r="B32" s="49" t="inlineStr">
        <is>
          <t>1.4</t>
        </is>
      </c>
      <c r="C32" s="49" t="n">
        <v>62</v>
      </c>
      <c r="D32" s="49"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инструментът произвежда годно съдържание сам по себе си.</t>
        </is>
      </c>
      <c r="E32" s="57" t="inlineStr">
        <is>
          <t>Покрито от цитата в същия абзац</t>
        </is>
      </c>
      <c r="F32" s="57" t="inlineStr">
        <is>
          <t>[2]</t>
        </is>
      </c>
      <c r="G32" s="57" t="inlineStr"/>
      <c r="H32" s="57" t="inlineStr">
        <is>
          <t>Твърдението, че делът е постигнат заради вградената проверка, се подкрепя пряко от [2] — работният процес изисква одобрение от преподавателя преди записване на всеки въпрос. Повтори скобата.</t>
        </is>
      </c>
      <c r="I32" s="57" t="inlineStr">
        <is>
          <t>Claude (авт.)</t>
        </is>
      </c>
      <c r="J32" s="57" t="inlineStr">
        <is>
          <t>29.08.2026</t>
        </is>
      </c>
    </row>
    <row r="33" ht="48" customHeight="1" s="22">
      <c r="A33" s="49" t="n">
        <v>32</v>
      </c>
      <c r="B33" s="49" t="inlineStr">
        <is>
          <t>1.4</t>
        </is>
      </c>
      <c r="C33" s="49" t="n">
        <v>66</v>
      </c>
      <c r="D33" s="49" t="inlineStr">
        <is>
          <t>При рамковите подходи проследимостта е частична: процесът е документиран, но междинните стъпки често не се съхраняват.</t>
        </is>
      </c>
      <c r="E33" s="51" t="inlineStr">
        <is>
          <t>Премахнато</t>
        </is>
      </c>
      <c r="F33" s="51" t="inlineStr">
        <is>
          <t>—</t>
        </is>
      </c>
      <c r="G33" s="51" t="inlineStr"/>
      <c r="H33" s="51" t="inlineStr">
        <is>
          <t>Че при рамковите подходи междинните стъпки „често не се съхраняват“ не се твърди от нито един от проверените източници. GAIDE документира процеса, но не и обратното. Отпада или се свежда до това, което [16] описва.</t>
        </is>
      </c>
      <c r="I33" s="51" t="inlineStr">
        <is>
          <t>Claude (авт.)</t>
        </is>
      </c>
      <c r="J33" s="51" t="inlineStr">
        <is>
          <t>29.08.2026</t>
        </is>
      </c>
    </row>
    <row r="34" ht="48" customHeight="1" s="22">
      <c r="A34" s="49" t="n">
        <v>33</v>
      </c>
      <c r="B34" s="49" t="inlineStr">
        <is>
          <t>1.6</t>
        </is>
      </c>
      <c r="C34" s="49" t="n">
        <v>85</v>
      </c>
      <c r="D34" s="49" t="inlineStr">
        <is>
          <t>На международно равнище очертаните изисквания намират израз в специализираното ръководство на ЮНЕСКО за генеративния изкуствен интелект в образованието и научните изследвания — първият глобален документ от този род.</t>
        </is>
      </c>
      <c r="E34" s="51" t="inlineStr">
        <is>
          <t>Покрито от цитата в същия абзац</t>
        </is>
      </c>
      <c r="F34" s="51" t="inlineStr"/>
      <c r="G34" s="51" t="inlineStr"/>
      <c r="H3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4" s="51" t="inlineStr">
        <is>
          <t>Claude (авт.)</t>
        </is>
      </c>
      <c r="J34" s="51" t="inlineStr">
        <is>
          <t>29.08.2026</t>
        </is>
      </c>
    </row>
    <row r="35" ht="48" customHeight="1" s="22">
      <c r="A35" s="49" t="n">
        <v>34</v>
      </c>
      <c r="B35" s="49" t="inlineStr">
        <is>
          <t>1.6</t>
        </is>
      </c>
      <c r="C35" s="49" t="n">
        <v>86</v>
      </c>
      <c r="D35" s="49" t="inlineStr">
        <is>
          <t>Същата рамка разграничава допустима от недопустима употреба по ясен критерий — инструментът може да улеснява рутинните операции, но не може да замества интелектуалния труд — и утвърждава принципа на неделимото авторство: авторът носи пълна отговорност за съдържанието независимо от степента на машинно асистиране.</t>
        </is>
      </c>
      <c r="E35" s="51" t="inlineStr">
        <is>
          <t>Покрито от цитата в същия абзац</t>
        </is>
      </c>
      <c r="F35" s="51" t="inlineStr"/>
      <c r="G35" s="51" t="inlineStr"/>
      <c r="H3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5" s="51" t="inlineStr">
        <is>
          <t>Claude (авт.)</t>
        </is>
      </c>
      <c r="J35" s="51" t="inlineStr">
        <is>
          <t>29.08.2026</t>
        </is>
      </c>
    </row>
    <row r="36" ht="48" customHeight="1" s="22">
      <c r="A36" s="49" t="n">
        <v>35</v>
      </c>
      <c r="B36" s="49" t="inlineStr">
        <is>
          <t>1.6</t>
        </is>
      </c>
      <c r="C36" s="49" t="n">
        <v>87</v>
      </c>
      <c r="D36" s="49" t="inlineStr">
        <is>
          <t>Правната рамка на тези изисквания вече не е само национална или секторна.</t>
        </is>
      </c>
      <c r="E36" s="57" t="inlineStr">
        <is>
          <t>Рамка на изложението — не изисква източник</t>
        </is>
      </c>
      <c r="F36" s="57" t="inlineStr"/>
      <c r="G36" s="57" t="inlineStr"/>
      <c r="H36"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6" s="57" t="inlineStr">
        <is>
          <t>Claude (авт.)</t>
        </is>
      </c>
      <c r="J36" s="57" t="inlineStr">
        <is>
          <t>29.08.2026</t>
        </is>
      </c>
    </row>
    <row r="37" ht="48" customHeight="1" s="22">
      <c r="A37" s="49" t="n">
        <v>36</v>
      </c>
      <c r="B37" s="49" t="inlineStr">
        <is>
          <t>1.6</t>
        </is>
      </c>
      <c r="C37" s="49" t="n">
        <v>87</v>
      </c>
      <c r="D37" s="49" t="inlineStr">
        <is>
          <t>За образователния контекст е показателно, че регламентът причислява към високорисковите определени образователни употреби — системи, които определят достъпа до обучение или оценяват обучаеми — и с това утвърждава принципа, че колкото по-голямо е въздействието върху обучаемия, толкова по-строги са изискванията.</t>
        </is>
      </c>
      <c r="E37" s="51" t="inlineStr">
        <is>
          <t>Покрито от цитата в същия абзац</t>
        </is>
      </c>
      <c r="F37" s="51" t="inlineStr"/>
      <c r="G37" s="51" t="inlineStr"/>
      <c r="H37"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7" s="51" t="inlineStr">
        <is>
          <t>Claude (авт.)</t>
        </is>
      </c>
      <c r="J37" s="51" t="inlineStr">
        <is>
          <t>29.08.2026</t>
        </is>
      </c>
    </row>
    <row r="38" ht="48" customHeight="1" s="22">
      <c r="A38" s="49" t="n">
        <v>37</v>
      </c>
      <c r="B38" s="49" t="inlineStr">
        <is>
          <t>1.6</t>
        </is>
      </c>
      <c r="C38" s="49" t="n">
        <v>88</v>
      </c>
      <c r="D38" s="49" t="inlineStr">
        <is>
          <t>Между европейската правна рамка и практиката на отделния преподавател стои институционалното и националното равнище, което в българския контекст все още се изгражда.</t>
        </is>
      </c>
      <c r="E38" s="57" t="inlineStr">
        <is>
          <t>Рамка на изложението — не изисква източник</t>
        </is>
      </c>
      <c r="F38" s="57" t="inlineStr"/>
      <c r="G38" s="57" t="inlineStr"/>
      <c r="H3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8" s="57" t="inlineStr">
        <is>
          <t>Claude (авт.)</t>
        </is>
      </c>
      <c r="J38" s="57" t="inlineStr">
        <is>
          <t>29.08.2026</t>
        </is>
      </c>
    </row>
    <row r="39" ht="48" customHeight="1" s="22">
      <c r="A39" s="49" t="n">
        <v>38</v>
      </c>
      <c r="B39" s="49" t="inlineStr">
        <is>
          <t>1.6</t>
        </is>
      </c>
      <c r="C39" s="49" t="n">
        <v>91</v>
      </c>
      <c r="D39" s="49" t="inlineStr">
        <is>
          <t>Четирите групи изисквания очертават нормативната рамка, в която бъдещият модел ще работи: етичната и академичната коректност не са външни съображения, а една от областите, по които качеството на генерираното учебно съдържание подлежи на оценяване.</t>
        </is>
      </c>
      <c r="E39" s="57" t="inlineStr">
        <is>
          <t>Рамка на изложението — не изисква източник</t>
        </is>
      </c>
      <c r="F39" s="57" t="inlineStr"/>
      <c r="G39" s="57" t="inlineStr"/>
      <c r="H3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9" s="57" t="inlineStr">
        <is>
          <t>Claude (авт.)</t>
        </is>
      </c>
      <c r="J39" s="57" t="inlineStr">
        <is>
          <t>29.08.2026</t>
        </is>
      </c>
    </row>
    <row r="40" ht="48" customHeight="1" s="22">
      <c r="A40" s="49" t="n">
        <v>39</v>
      </c>
      <c r="B40" s="49" t="inlineStr">
        <is>
          <t>1.6</t>
        </is>
      </c>
      <c r="C40" s="49" t="n">
        <v>92</v>
      </c>
      <c r="D40" s="49" t="inlineStr">
        <is>
          <t>Той има две страни: от една страна, доколко материал, произведен от модел, се ползва със закрила, и от друга — доколко създаването му не нарушава правата върху произведенията, с които моделът е обучаван.</t>
        </is>
      </c>
      <c r="E40" s="57" t="inlineStr">
        <is>
          <t>Нужен източник — намерен</t>
        </is>
      </c>
      <c r="F40" s="57" t="inlineStr">
        <is>
          <t>[17] Kasneci и кол.</t>
        </is>
      </c>
      <c r="G40" s="57" t="inlineStr"/>
      <c r="H40" s="57" t="inlineStr">
        <is>
          <t>Втората страна се подкрепя дословно: „the answer may contain a full sentence or even a paragraph seen in the training set, leading to copyright and plagiarism issues“. Първата страна — дали машинно произведен материал се ползва със закрила — НЕ е в източника и изисква правен източник или отпадане.</t>
        </is>
      </c>
      <c r="I40" s="57" t="inlineStr">
        <is>
          <t>Claude (авт.)</t>
        </is>
      </c>
      <c r="J40" s="57" t="inlineStr">
        <is>
          <t>29.08.2026</t>
        </is>
      </c>
    </row>
    <row r="41" ht="48" customHeight="1" s="22">
      <c r="A41" s="49" t="n">
        <v>40</v>
      </c>
      <c r="B41" s="49" t="inlineStr">
        <is>
          <t>1.6</t>
        </is>
      </c>
      <c r="C41" s="49" t="n">
        <v>93</v>
      </c>
      <c r="D41" s="49" t="inlineStr">
        <is>
          <t>В този смисъл моделът за оценяване има и възпитателна функция, надхвърляща прякото си предназначение: той демонстрира на практика какво означава отговорна употреба и може да бъде използван като учебно средство при изграждането на дигитална и етична грамотност у самите обучаеми.</t>
        </is>
      </c>
      <c r="E41" s="57" t="inlineStr">
        <is>
          <t>Рамка на изложението — не изисква източник</t>
        </is>
      </c>
      <c r="F41" s="57" t="inlineStr"/>
      <c r="G41" s="57" t="inlineStr"/>
      <c r="H41"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1" s="57" t="inlineStr">
        <is>
          <t>Claude (авт.)</t>
        </is>
      </c>
      <c r="J41" s="57" t="inlineStr">
        <is>
          <t>29.08.2026</t>
        </is>
      </c>
    </row>
    <row r="42" ht="48" customHeight="1" s="22">
      <c r="A42" s="49" t="n">
        <v>41</v>
      </c>
      <c r="B42" s="49" t="inlineStr">
        <is>
          <t>1.7</t>
        </is>
      </c>
      <c r="C42" s="49" t="n">
        <v>97</v>
      </c>
      <c r="D42" s="49" t="inlineStr">
        <is>
          <t>Най-развитата институционализация на критериално-експертния подход са стандартизираните рубрики за качество на онлайн курсове.</t>
        </is>
      </c>
      <c r="E42" s="51" t="inlineStr">
        <is>
          <t>Покрито от цитата в същия абзац</t>
        </is>
      </c>
      <c r="F42" s="51" t="inlineStr"/>
      <c r="G42" s="51" t="inlineStr"/>
      <c r="H4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2" s="51" t="inlineStr">
        <is>
          <t>Claude (авт.)</t>
        </is>
      </c>
      <c r="J42" s="51" t="inlineStr">
        <is>
          <t>29.08.2026</t>
        </is>
      </c>
    </row>
    <row r="43" ht="48" customHeight="1" s="22">
      <c r="A43" s="49" t="n">
        <v>42</v>
      </c>
      <c r="B43" s="49" t="inlineStr">
        <is>
          <t>1.7</t>
        </is>
      </c>
      <c r="C43" s="49" t="n">
        <v>98</v>
      </c>
      <c r="D43" s="49" t="inlineStr">
        <is>
          <t>Институционално-акредитационният подход измества фокуса от отделния материал към системата, която го произвежда и използва: оценяват се процесите, ресурсите и стандартите на институцията, предлагаща електронно обучение.</t>
        </is>
      </c>
      <c r="E43" s="51" t="inlineStr">
        <is>
          <t>Покрито от цитата в същия абзац</t>
        </is>
      </c>
      <c r="F43" s="51" t="inlineStr"/>
      <c r="G43" s="51" t="inlineStr"/>
      <c r="H43"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3" s="51" t="inlineStr">
        <is>
          <t>Claude (авт.)</t>
        </is>
      </c>
      <c r="J43" s="51" t="inlineStr">
        <is>
          <t>29.08.2026</t>
        </is>
      </c>
    </row>
    <row r="44" ht="48" customHeight="1" s="22">
      <c r="A44" s="49" t="n">
        <v>43</v>
      </c>
      <c r="B44" s="49" t="inlineStr">
        <is>
          <t>1.7</t>
        </is>
      </c>
      <c r="C44" s="49" t="n">
        <v>105</v>
      </c>
      <c r="D44" s="49"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документираните отклонения в преценката на моделите-оценители и принципното съображение, че оценяването на генериран текст от генеративен модел възпроизвежда същия вероятностен механизъм, чиято надеждност се проверява.</t>
        </is>
      </c>
      <c r="E44" s="57" t="inlineStr">
        <is>
          <t>Покрито от цитата в същия абзац</t>
        </is>
      </c>
      <c r="F44" s="57" t="inlineStr">
        <is>
          <t>[15] и [14]</t>
        </is>
      </c>
      <c r="G44" s="57" t="inlineStr"/>
      <c r="H44" s="57" t="inlineStr">
        <is>
          <t>Първите две обстоятелства са вече потвърдени другаде в главата: липсата на валидирани данни е на [15], документираните отклонения — на [14]. Повтори двете скоби. Третото обстоятелство е разсъждение, а не установен факт — обозначи го като съображение.</t>
        </is>
      </c>
      <c r="I44" s="57" t="inlineStr">
        <is>
          <t>Claude (авт.)</t>
        </is>
      </c>
      <c r="J44" s="57" t="inlineStr">
        <is>
          <t>29.08.2026</t>
        </is>
      </c>
    </row>
    <row r="45" ht="48" customHeight="1" s="22">
      <c r="A45" s="49" t="n">
        <v>44</v>
      </c>
      <c r="B45" s="49" t="inlineStr">
        <is>
          <t>1.7</t>
        </is>
      </c>
      <c r="C45" s="49" t="n">
        <v>106</v>
      </c>
      <c r="D45" s="49" t="inlineStr">
        <is>
          <t>Това потвърждава както актуалността на темата в българския контекст, така и избраната посока — модел, който структурира човешката експертна преценка, вместо да я автоматизира.</t>
        </is>
      </c>
      <c r="E45" s="51" t="inlineStr">
        <is>
          <t>Покрито от цитата в същия абзац</t>
        </is>
      </c>
      <c r="F45" s="51" t="inlineStr"/>
      <c r="G45" s="51" t="inlineStr"/>
      <c r="H4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5" s="51" t="inlineStr">
        <is>
          <t>Claude (авт.)</t>
        </is>
      </c>
      <c r="J45" s="51" t="inlineStr">
        <is>
          <t>29.08.2026</t>
        </is>
      </c>
    </row>
    <row r="46" ht="48" customHeight="1" s="22">
      <c r="A46" s="49" t="n">
        <v>45</v>
      </c>
      <c r="B46" s="49" t="inlineStr">
        <is>
          <t>1.7</t>
        </is>
      </c>
      <c r="C46" s="49" t="n">
        <v>108</v>
      </c>
      <c r="D46" s="49" t="inlineStr">
        <is>
          <t>Критериалните листи по правило не съдържат проверка за фактически измислици, защото при добросъвестен човешки автор такава проверка е излишна; акредитационните стандарти предполагат отговорен автор с установима квалификация; емпиричното оценяване настъпва твърде късно, за да улови дефекти, които могат да бъдат предотвратени на входа.</t>
        </is>
      </c>
      <c r="E46" s="51" t="inlineStr">
        <is>
          <t>Преформулиране</t>
        </is>
      </c>
      <c r="F46" s="51" t="inlineStr">
        <is>
          <t>—</t>
        </is>
      </c>
      <c r="G46" s="51" t="inlineStr"/>
      <c r="H46" s="51" t="inlineStr">
        <is>
          <t>Твърдението е отрицателно — какво НЕ съдържат инструментите. Такова твърдение изисква преглед на самите инструменти. Преформулирай на „в прегледаните инструменти не се среща отделен показател за фактическа достоверност“, което е проверимо наблюдение върху [32], вместо общо твърдение за всички критериални листи.</t>
        </is>
      </c>
      <c r="I46" s="51" t="inlineStr">
        <is>
          <t>Claude (авт.)</t>
        </is>
      </c>
      <c r="J46" s="51" t="inlineStr">
        <is>
          <t>29.08.2026</t>
        </is>
      </c>
    </row>
    <row r="47" ht="48" customHeight="1" s="22">
      <c r="A47" s="49" t="n">
        <v>46</v>
      </c>
      <c r="B47" s="49" t="inlineStr">
        <is>
          <t>1.7</t>
        </is>
      </c>
      <c r="C47" s="49" t="n">
        <v>109</v>
      </c>
      <c r="D47" s="49" t="inlineStr">
        <is>
          <t>Оттук следва изводът, който задава програмата на следващия етап: съществуващата традиция в оценяването предоставя ценна основа — критериалната форма, педагогическата съдържателна база, институционалната рамка — но не и готов инструмент за оценяване на съдържание, създадено с генеративни инструменти.</t>
        </is>
      </c>
      <c r="E47" s="57" t="inlineStr">
        <is>
          <t>Рамка на изложението — не изисква източник</t>
        </is>
      </c>
      <c r="F47" s="57" t="inlineStr"/>
      <c r="G47" s="57" t="inlineStr"/>
      <c r="H4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7" s="57" t="inlineStr">
        <is>
          <t>Claude (авт.)</t>
        </is>
      </c>
      <c r="J47" s="57" t="inlineStr">
        <is>
          <t>29.08.2026</t>
        </is>
      </c>
    </row>
    <row r="48" ht="48" customHeight="1" s="22">
      <c r="A48" s="49" t="n">
        <v>47</v>
      </c>
      <c r="B48" s="49" t="inlineStr">
        <is>
          <t>Изводи</t>
        </is>
      </c>
      <c r="C48" s="49" t="n">
        <v>113</v>
      </c>
      <c r="D48" s="49" t="inlineStr">
        <is>
          <t>В тази дефиниционна рамка съдържанието, създадено с генеративни инструменти, не представлява нов вид — то възпроизвежда познатите видове електронни ресурси, но с принципно различен процес на създаване и с различен профил на рисковете за качеството.</t>
        </is>
      </c>
      <c r="E48" s="57" t="inlineStr">
        <is>
          <t>Рамка на изложението — не изисква източник</t>
        </is>
      </c>
      <c r="F48" s="57" t="inlineStr"/>
      <c r="G48" s="57" t="inlineStr"/>
      <c r="H4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8" s="57" t="inlineStr">
        <is>
          <t>Claude (авт.)</t>
        </is>
      </c>
      <c r="J48" s="57" t="inlineStr">
        <is>
          <t>29.08.2026</t>
        </is>
      </c>
    </row>
    <row r="49" ht="48" customHeight="1" s="22">
      <c r="A49" s="49" t="n">
        <v>48</v>
      </c>
      <c r="B49" s="49" t="inlineStr">
        <is>
          <t>Изводи</t>
        </is>
      </c>
      <c r="C49" s="49" t="n">
        <v>114</v>
      </c>
      <c r="D49" s="49" t="inlineStr">
        <is>
          <t>Второ, педагогическите изисквания към електронното учебно съдържание — съответствие с учебните цели, издържана структура, достъпност, педагогически смислена интерактивност и пригодност за самостоятелно обучение — са формулирани независимо от начина на създаване и затова важат в пълна степен и за генерираното съдържание.</t>
        </is>
      </c>
      <c r="E49" s="57" t="inlineStr">
        <is>
          <t>Рамка на изложението — не изисква източник</t>
        </is>
      </c>
      <c r="F49" s="57" t="inlineStr"/>
      <c r="G49" s="57" t="inlineStr"/>
      <c r="H4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9" s="57" t="inlineStr">
        <is>
          <t>Claude (авт.)</t>
        </is>
      </c>
      <c r="J49" s="57" t="inlineStr">
        <is>
          <t>29.08.2026</t>
        </is>
      </c>
    </row>
    <row r="50" ht="48" customHeight="1" s="22">
      <c r="A50" s="49" t="n">
        <v>49</v>
      </c>
      <c r="B50" s="49" t="inlineStr">
        <is>
          <t>Изводи</t>
        </is>
      </c>
      <c r="C50" s="49" t="n">
        <v>118</v>
      </c>
      <c r="D50" s="49" t="inlineStr">
        <is>
          <t>Шесто, прегледът на съществуващите подходи показва и какво следва да бъде запазено от тях.</t>
        </is>
      </c>
      <c r="E50" s="57" t="inlineStr">
        <is>
          <t>Рамка на изложението — не изисква източник</t>
        </is>
      </c>
      <c r="F50" s="57" t="inlineStr"/>
      <c r="G50" s="57" t="inlineStr"/>
      <c r="H50"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50" s="57" t="inlineStr">
        <is>
          <t>Claude (авт.)</t>
        </is>
      </c>
      <c r="J50" s="57" t="inlineStr">
        <is>
          <t>29.08.2026</t>
        </is>
      </c>
    </row>
    <row r="51" ht="48" customHeight="1" s="22">
      <c r="A51" s="49" t="n">
        <v>50</v>
      </c>
      <c r="B51" s="49" t="inlineStr">
        <is>
          <t>Изводи</t>
        </is>
      </c>
      <c r="C51" s="49" t="n">
        <v>118</v>
      </c>
      <c r="D51" s="49" t="inlineStr">
        <is>
          <t>Критериалната форма — йерархия от области, критерии и проверими показатели — е доказала приложимостта си в утвърдени инструменти за оценяване на онлайн курсове; педагогическата съдържателна основа е налична в доказателствено обоснованите принципи на мултимедийното учене и в първите принципи на обучението; а институционалната рамка осигурява средата, в която оценяването може да бъде въведено като задължителна практика.</t>
        </is>
      </c>
      <c r="E51" s="57" t="inlineStr">
        <is>
          <t>Покрито от цитата в същия абзац</t>
        </is>
      </c>
      <c r="F51" s="57" t="inlineStr">
        <is>
          <t>[32], [33], [29]</t>
        </is>
      </c>
      <c r="G51" s="57" t="inlineStr"/>
      <c r="H51" s="57" t="inlineStr">
        <is>
          <t>И трите части на изречението вече имат източници другаде в главата: критериалната форма — [32], принципите на мултимедийното учене — [33], първите принципи — [29]. Повтори скобите в изводите.</t>
        </is>
      </c>
      <c r="I51" s="57" t="inlineStr">
        <is>
          <t>Claude (авт.)</t>
        </is>
      </c>
      <c r="J51" s="57" t="inlineStr">
        <is>
          <t>29.08.2026</t>
        </is>
      </c>
    </row>
  </sheetData>
  <autoFilter ref="A1:J51"/>
  <dataValidations count="2">
    <dataValidation sqref="E2:E51" showDropDown="0" showInputMessage="0" showErrorMessage="0" allowBlank="1" type="list">
      <formula1>"За преценка,Авторски извод — не изисква източник,Нужен източник — намерен,Нужен източник — не е намерен,Пренаписано,Премахнато"</formula1>
    </dataValidation>
    <dataValidation sqref="E2:E51" showDropDown="0" showInputMessage="0" showErrorMessage="0" allowBlank="1" type="list">
      <formula1>"Рамка на изложението — не изисква източник,Покрито от цитата в същия абзац,ИЗИСКВА РЕШЕНИЕ — нецитирано твърдение за света,Нужен източник — намерен,Нужен източник — не е намерен,Пренаписано,Премахнато"</formula1>
    </dataValidation>
  </dataValidation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B2:D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1" min="1" max="1"/>
    <col width="34" customWidth="1" style="21" min="2" max="2"/>
    <col width="12" customWidth="1" style="21" min="3" max="3"/>
    <col width="10" customWidth="1" style="21" min="4" max="4"/>
  </cols>
  <sheetData>
    <row r="2" ht="15.75" customHeight="1" s="22">
      <c r="B2" s="40" t="inlineStr">
        <is>
          <t>Ход на проверката</t>
        </is>
      </c>
    </row>
    <row r="4" ht="15" customHeight="1" s="22">
      <c r="B4" s="41" t="inlineStr">
        <is>
          <t>Ниво 1 — библиографски записи</t>
        </is>
      </c>
    </row>
    <row r="5" ht="15" customHeight="1" s="22">
      <c r="B5" s="42" t="inlineStr">
        <is>
          <t>Непроверено</t>
        </is>
      </c>
      <c r="C5" s="42">
        <f>COUNTIF('Ниво 1 Източници'!$K$2:$K$37,B5)</f>
        <v/>
      </c>
    </row>
    <row r="6" ht="15" customHeight="1" s="22">
      <c r="B6" s="42" t="inlineStr">
        <is>
          <t>Потвърдено</t>
        </is>
      </c>
      <c r="C6" s="42">
        <f>COUNTIF('Ниво 1 Източници'!$K$2:$K$37,B6)</f>
        <v/>
      </c>
    </row>
    <row r="7" ht="15" customHeight="1" s="22">
      <c r="B7" s="42" t="inlineStr">
        <is>
          <t>Частично потвърдено</t>
        </is>
      </c>
      <c r="C7" s="42">
        <f>COUNTIF('Ниво 1 Източници'!$K$2:$K$37,B7)</f>
        <v/>
      </c>
    </row>
    <row r="8" ht="15" customHeight="1" s="22">
      <c r="B8" s="42" t="inlineStr">
        <is>
          <t>Не се потвърждава</t>
        </is>
      </c>
      <c r="C8" s="42">
        <f>COUNTIF('Ниво 1 Източници'!$K$2:$K$37,B8)</f>
        <v/>
      </c>
    </row>
    <row r="9" ht="15" customHeight="1" s="22">
      <c r="B9" s="42" t="inlineStr">
        <is>
          <t>Източникът не е намерен</t>
        </is>
      </c>
      <c r="C9" s="42">
        <f>COUNTIF('Ниво 1 Източници'!$K$2:$K$37,B9)</f>
        <v/>
      </c>
    </row>
    <row r="10" ht="15" customHeight="1" s="22">
      <c r="B10" s="42" t="inlineStr">
        <is>
          <t>Няма достъп — за ръчна проверка</t>
        </is>
      </c>
      <c r="C10" s="42">
        <f>COUNTIF('Ниво 1 Източници'!$K$2:$K$37,B10)</f>
        <v/>
      </c>
    </row>
    <row r="11" ht="15" customHeight="1" s="22">
      <c r="B11" s="41" t="inlineStr">
        <is>
          <t>Готовност</t>
        </is>
      </c>
      <c r="C11" s="43">
        <f>(C6+C7)/36</f>
        <v/>
      </c>
    </row>
    <row r="12" ht="15" customHeight="1" s="22">
      <c r="B12" s="41" t="inlineStr">
        <is>
          <t>Ниво 2 — твърдения</t>
        </is>
      </c>
    </row>
    <row r="13" ht="15" customHeight="1" s="22">
      <c r="B13" s="42" t="inlineStr">
        <is>
          <t>Непроверено</t>
        </is>
      </c>
      <c r="C13" s="42">
        <f>COUNTIF('Ниво 2 Твърдения'!$I$2:$I$65,B13)</f>
        <v/>
      </c>
    </row>
    <row r="14" ht="15" customHeight="1" s="22">
      <c r="B14" s="42" t="inlineStr">
        <is>
          <t>Потвърдено</t>
        </is>
      </c>
      <c r="C14" s="42">
        <f>COUNTIF('Ниво 2 Твърдения'!$I$2:$I$65,B14)</f>
        <v/>
      </c>
    </row>
    <row r="15" ht="15" customHeight="1" s="22">
      <c r="B15" s="42" t="inlineStr">
        <is>
          <t>Частично потвърдено</t>
        </is>
      </c>
      <c r="C15" s="42">
        <f>COUNTIF('Ниво 2 Твърдения'!$I$2:$I$65,B15)</f>
        <v/>
      </c>
    </row>
    <row r="16" ht="15" customHeight="1" s="22">
      <c r="B16" s="42" t="inlineStr">
        <is>
          <t>Не се потвърждава</t>
        </is>
      </c>
      <c r="C16" s="42">
        <f>COUNTIF('Ниво 2 Твърдения'!$I$2:$I$65,B16)</f>
        <v/>
      </c>
    </row>
    <row r="17" ht="15" customHeight="1" s="22">
      <c r="B17" s="42" t="inlineStr">
        <is>
          <t>Източникът не е намерен</t>
        </is>
      </c>
      <c r="C17" s="42">
        <f>COUNTIF('Ниво 2 Твърдения'!$I$2:$I$65,B17)</f>
        <v/>
      </c>
    </row>
    <row r="18" ht="15" customHeight="1" s="22">
      <c r="B18" s="42" t="inlineStr">
        <is>
          <t>Няма достъп — за ръчна проверка</t>
        </is>
      </c>
      <c r="C18" s="42">
        <f>COUNTIF('Ниво 2 Твърдения'!$I$2:$I$65,B18)</f>
        <v/>
      </c>
    </row>
    <row r="19" ht="15" customHeight="1" s="22">
      <c r="B19" s="41" t="inlineStr">
        <is>
          <t>Готовност</t>
        </is>
      </c>
      <c r="C19" s="43">
        <f>(C14+C15)/64</f>
        <v/>
      </c>
    </row>
    <row r="21" ht="15" customHeight="1" s="22">
      <c r="B21" s="41" t="inlineStr">
        <is>
          <t>Ниво 2 по приоритет (остават непроверени)</t>
        </is>
      </c>
      <c r="D21" s="44" t="inlineStr">
        <is>
          <t>от общо</t>
        </is>
      </c>
    </row>
    <row r="22" ht="15" customHeight="1" s="22">
      <c r="B22" s="42" t="inlineStr">
        <is>
          <t>Критичен</t>
        </is>
      </c>
      <c r="C22" s="42">
        <f>COUNTIFS('Ниво 2 Твърдения'!$H$2:$H$65,B22,'Ниво 2 Твърдения'!$I$2:$I$65,"Непроверено")</f>
        <v/>
      </c>
      <c r="D22" s="42">
        <f>COUNTIF('Ниво 2 Твърдения'!$H$2:$H$65,B22)</f>
        <v/>
      </c>
    </row>
    <row r="23" ht="15" customHeight="1" s="22">
      <c r="B23" s="42" t="inlineStr">
        <is>
          <t>Висок</t>
        </is>
      </c>
      <c r="C23" s="42">
        <f>COUNTIFS('Ниво 2 Твърдения'!$H$2:$H$65,B23,'Ниво 2 Твърдения'!$I$2:$I$65,"Непроверено")</f>
        <v/>
      </c>
      <c r="D23" s="42">
        <f>COUNTIF('Ниво 2 Твърдения'!$H$2:$H$65,B23)</f>
        <v/>
      </c>
    </row>
    <row r="24" ht="15" customHeight="1" s="22">
      <c r="B24" s="42" t="inlineStr">
        <is>
          <t>Среден</t>
        </is>
      </c>
      <c r="C24" s="42">
        <f>COUNTIFS('Ниво 2 Твърдения'!$H$2:$H$65,B24,'Ниво 2 Твърдения'!$I$2:$I$65,"Непроверено")</f>
        <v/>
      </c>
      <c r="D24" s="42">
        <f>COUNTIF('Ниво 2 Твърдения'!$H$2:$H$65,B24)</f>
        <v/>
      </c>
    </row>
    <row r="25" ht="15" customHeight="1" s="22">
      <c r="B25" s="42" t="inlineStr">
        <is>
          <t>Нисък</t>
        </is>
      </c>
      <c r="C25" s="42">
        <f>COUNTIFS('Ниво 2 Твърдения'!$H$2:$H$65,B25,'Ниво 2 Твърдения'!$I$2:$I$65,"Непроверено")</f>
        <v/>
      </c>
      <c r="D25" s="42">
        <f>COUNTIF('Ниво 2 Твърдения'!$H$2:$H$65,B25)</f>
        <v/>
      </c>
    </row>
    <row r="26">
      <c r="B26" s="52" t="inlineStr">
        <is>
          <t>Ниво 3 — нецитирани твърдения</t>
        </is>
      </c>
    </row>
    <row r="27">
      <c r="B27" s="53" t="inlineStr">
        <is>
          <t>Рамка — не изисква източник</t>
        </is>
      </c>
      <c r="C27" s="53" t="n">
        <v>14</v>
      </c>
    </row>
    <row r="28">
      <c r="B28" s="53" t="inlineStr">
        <is>
          <t>Покрито от съседен цитат</t>
        </is>
      </c>
      <c r="C28" s="53" t="n">
        <v>17</v>
      </c>
    </row>
    <row r="29">
      <c r="B29" s="53" t="inlineStr">
        <is>
          <t>ИЗИСКВА РЕШЕНИЕ</t>
        </is>
      </c>
      <c r="C29" s="53" t="n">
        <v>15</v>
      </c>
    </row>
    <row r="30">
      <c r="B30" s="53" t="inlineStr">
        <is>
          <t>Източник вече намерен</t>
        </is>
      </c>
      <c r="C30" s="53"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2026-08-28T09:35:22Z</dcterms:created>
  <dcterms:modified xmlns:dcterms="http://purl.org/dc/terms/" xmlns:xsi="http://www.w3.org/2001/XMLSchema-instance" xsi:type="dcterms:W3CDTF">2026-08-30T08:42:17Z</dcterms:modified>
  <cp:revision>0</cp:revision>
</cp:coreProperties>
</file>